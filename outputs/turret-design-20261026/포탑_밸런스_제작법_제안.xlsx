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99a74a97b4d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밸런스 계산" sheetId="1" r:id="R00d90ffce74e4629"/>
    <x:sheet xmlns:r="http://schemas.openxmlformats.org/officeDocument/2006/relationships" name="기본 수치" sheetId="2" r:id="R1df3f9c4ef8e4bbe"/>
    <x:sheet xmlns:r="http://schemas.openxmlformats.org/officeDocument/2006/relationships" name="모듈과 증폭" sheetId="3" r:id="Rd60309b9f0d048ac"/>
    <x:sheet xmlns:r="http://schemas.openxmlformats.org/officeDocument/2006/relationships" name="제작법 제안" sheetId="4" r:id="Ra2270f41be18444a"/>
    <x:sheet xmlns:r="http://schemas.openxmlformats.org/officeDocument/2006/relationships" name="배치와 소모" sheetId="5" r:id="R555abb1212d94fce"/>
    <x:sheet xmlns:r="http://schemas.openxmlformats.org/officeDocument/2006/relationships" name="확정 규칙" sheetId="6" r:id="R74f85ac2691042bb"/>
    <x:sheet xmlns:r="http://schemas.openxmlformats.org/officeDocument/2006/relationships" name="검토 항목" sheetId="7" r:id="R36e9369fe57f4a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%"/>
    <x:numFmt numFmtId="202" formatCode="0"/>
    <x:numFmt numFmtId="203" formatCode="0.0"/>
    <x:numFmt numFmtId="204" formatCode="@"/>
  </x:numFmts>
  <x:fonts count="6">
    <x:font>
      <x:sz val="11"/>
      <x:name val="Carlito"/>
    </x:font>
    <x:font>
      <x:sz val="11"/>
      <x:color rgb="FF233247"/>
      <x:name val="Malgun Gothic"/>
    </x:font>
    <x:font>
      <x:b/>
      <x:sz val="16"/>
      <x:color rgb="FF233247"/>
      <x:name val="Malgun Gothic"/>
    </x:font>
    <x:font>
      <x:sz val="10"/>
      <x:color rgb="FF52677A"/>
      <x:name val="Malgun Gothic"/>
    </x:font>
    <x:font>
      <x:b/>
      <x:sz val="11"/>
      <x:color rgb="FFFFFFFF"/>
      <x:name val="Malgun Gothic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04966"/>
      </x:patternFill>
    </x:fill>
    <x:fill>
      <x:patternFill patternType="solid">
        <x:fgColor rgb="FFF3F6F9"/>
      </x:patternFill>
    </x:fill>
    <x:fill>
      <x:patternFill patternType="solid">
        <x:fgColor rgb="FFFFF3D6"/>
      </x:patternFill>
    </x:fill>
    <x:fill>
      <x:patternFill patternType="solid">
        <x:fgColor rgb="FFEDF3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8FA4B8"/>
      </x:bottom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201" fontId="1" fillId="4" borderId="0" xfId="0" applyNumberFormat="1" applyFont="1" applyFill="1" applyBorder="1" applyAlignment="1">
      <x:alignment horizontal="right" vertical="center" wrapText="1"/>
    </x:xf>
    <x:xf numFmtId="200" fontId="1" fillId="5" borderId="0" xfId="0" applyNumberFormat="1" applyFont="1" applyFill="1" applyBorder="1" applyAlignment="1">
      <x:alignment horizontal="right" vertical="center" wrapText="1"/>
    </x:xf>
    <x:xf numFmtId="202" fontId="1" fillId="4" borderId="0" xfId="0" applyNumberFormat="1" applyFont="1" applyFill="1" applyBorder="1" applyAlignment="1">
      <x:alignment vertical="center" wrapText="1"/>
    </x:xf>
    <x:xf numFmtId="202" fontId="1" fillId="4" borderId="0" xfId="0" applyNumberFormat="1" applyFont="1" applyFill="1" applyBorder="1" applyAlignment="1">
      <x:alignment horizontal="right"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3" fontId="1" fillId="4" borderId="0" xfId="0" applyNumberFormat="1" applyFont="1" applyFill="1" applyBorder="1" applyAlignment="1">
      <x:alignment horizontal="right" vertical="center" wrapText="1"/>
    </x:xf>
    <x:xf numFmtId="204" fontId="1" fillId="4" borderId="0" xfId="0" applyNumberFormat="1" applyFont="1" applyFill="1" applyBorder="1" applyAlignment="1">
      <x:alignment vertical="center" wrapText="1"/>
    </x:xf>
    <x:xf numFmtId="204" fontId="1" fillId="4" borderId="0" xfId="0" applyNumberFormat="1" applyFont="1" applyFill="1" applyBorder="1" applyAlignment="1">
      <x:alignment horizontal="right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horizontal="right" vertical="center" wrapText="1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horizontal="right" vertical="center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62d8220e384b09" /><Relationship Type="http://schemas.openxmlformats.org/officeDocument/2006/relationships/theme" Target="/xl/theme/theme1.xml" Id="Rbdce9adf9b3b489a" /><Relationship Type="http://schemas.openxmlformats.org/officeDocument/2006/relationships/sharedStrings" Target="/xl/sharedStrings.xml" Id="R97d669a1f3fd4d16" /><Relationship Type="http://schemas.openxmlformats.org/officeDocument/2006/relationships/worksheet" Target="/xl/worksheets/sheet1.xml" Id="R00d90ffce74e4629" /><Relationship Type="http://schemas.openxmlformats.org/officeDocument/2006/relationships/worksheet" Target="/xl/worksheets/sheet2.xml" Id="R1df3f9c4ef8e4bbe" /><Relationship Type="http://schemas.openxmlformats.org/officeDocument/2006/relationships/worksheet" Target="/xl/worksheets/sheet3.xml" Id="Rd60309b9f0d048ac" /><Relationship Type="http://schemas.openxmlformats.org/officeDocument/2006/relationships/worksheet" Target="/xl/worksheets/sheet4.xml" Id="Ra2270f41be18444a" /><Relationship Type="http://schemas.openxmlformats.org/officeDocument/2006/relationships/worksheet" Target="/xl/worksheets/sheet5.xml" Id="R555abb1212d94fce" /><Relationship Type="http://schemas.openxmlformats.org/officeDocument/2006/relationships/worksheet" Target="/xl/worksheets/sheet6.xml" Id="R74f85ac2691042bb" /><Relationship Type="http://schemas.openxmlformats.org/officeDocument/2006/relationships/worksheet" Target="/xl/worksheets/sheet7.xml" Id="R36e9369fe57f4a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0496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6" hidden="0" customWidth="1"/>
    <x:col min="5" max="5" width="17" hidden="0" customWidth="1"/>
    <x:col min="6" max="6" width="17" hidden="0" customWidth="1"/>
    <x:col min="7" max="7" width="19" hidden="0" customWidth="1"/>
    <x:col min="8" max="8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포탑 밸런스 비교</x:v>
      </x:c>
      <x:c r="B2" s="2"/>
      <x:c r="C2" s="2"/>
      <x:c r="D2" s="2"/>
      <x:c r="E2" s="2"/>
      <x:c r="F2" s="2"/>
      <x:c r="G2" s="2"/>
      <x:c r="H2" s="2"/>
    </x:row>
    <x:row r="3">
      <x:c r="A3" s="4" t="str">
        <x:v>전투 수치는 제안. 방어력·사선·실제 명중·광역 대상 수를 제외한 이론 비교. 황색 입력 / 청회색 계산.</x:v>
      </x:c>
      <x:c r="B3" s="2"/>
      <x:c r="C3" s="2"/>
      <x:c r="D3" s="2"/>
      <x:c r="E3" s="2"/>
      <x:c r="F3" s="2"/>
      <x:c r="G3" s="2"/>
      <x:c r="H3" s="2"/>
    </x:row>
    <x:row r="4">
      <x:c r="A4" s="5"/>
      <x:c r="B4" s="5"/>
      <x:c r="C4" s="5"/>
      <x:c r="D4" s="5"/>
      <x:c r="E4" s="5"/>
      <x:c r="F4" s="5"/>
      <x:c r="G4" s="5"/>
      <x:c r="H4" s="5"/>
    </x:row>
    <x:row r="5" ht="32" customHeight="1">
      <x:c r="A5" s="9" t="str">
        <x:v>포탑</x:v>
      </x:c>
      <x:c r="B5" s="9" t="str">
        <x:v>직접 피해</x:v>
      </x:c>
      <x:c r="C5" s="9" t="str">
        <x:v>직격 추가</x:v>
      </x:c>
      <x:c r="D5" s="9" t="str">
        <x:v>주기(초)</x:v>
      </x:c>
      <x:c r="E5" s="9" t="str">
        <x:v>직접 DPS</x:v>
      </x:c>
      <x:c r="F5" s="9" t="str">
        <x:v>직격 DPS</x:v>
      </x:c>
      <x:c r="G5" s="9" t="str">
        <x:v>사거리(블록)</x:v>
      </x:c>
      <x:c r="H5" s="9" t="str">
        <x:v>폭발 반경</x:v>
      </x:c>
    </x:row>
    <x:row r="6" ht="35" customHeight="1">
      <x:c r="A6" s="10" t="str">
        <x:v>화살</x:v>
      </x:c>
      <x:c r="B6" s="16" t="n">
        <x:f>'기본 수치'!C6*(1+B20+0)</x:f>
        <x:v>4</x:v>
      </x:c>
      <x:c r="C6" s="16" t="n">
        <x:f>'기본 수치'!C7*(1+B20+0)</x:f>
        <x:v>0</x:v>
      </x:c>
      <x:c r="D6" s="16" t="n">
        <x:f>MAX('기본 수치'!C28,'기본 수치'!C8/(1+C20+0))</x:f>
        <x:v>0.8</x:v>
      </x:c>
      <x:c r="E6" s="16" t="n">
        <x:f>B6*'기본 수치'!C11/D6</x:f>
        <x:v>5</x:v>
      </x:c>
      <x:c r="F6" s="16" t="n">
        <x:f>(B6*'기본 수치'!C11+C6)/D6</x:f>
        <x:v>5</x:v>
      </x:c>
      <x:c r="G6" s="16" t="n">
        <x:f>'기본 수치'!C12*(1+D20)</x:f>
        <x:v>16</x:v>
      </x:c>
      <x:c r="H6" s="16" t="n">
        <x:f>'기본 수치'!C13</x:f>
        <x:v>0</x:v>
      </x:c>
    </x:row>
    <x:row r="7" ht="35" customHeight="1">
      <x:c r="A7" s="11" t="str">
        <x:v>투석 일반</x:v>
      </x:c>
      <x:c r="B7" s="16" t="n">
        <x:f>'기본 수치'!D6*(1+B21+IF(G21="화약",'모듈과 증폭'!C31,0))</x:f>
        <x:v>14</x:v>
      </x:c>
      <x:c r="C7" s="16" t="n">
        <x:f>'기본 수치'!D7*(1+B21+IF(G21="화약",'모듈과 증폭'!C31,0))</x:f>
        <x:v>4</x:v>
      </x:c>
      <x:c r="D7" s="16" t="n">
        <x:f>MAX('기본 수치'!D28,'기본 수치'!D8/(1+C21+IF(G21="블레이즈 가루",'모듈과 증폭'!D30,0)))</x:f>
        <x:v>3</x:v>
      </x:c>
      <x:c r="E7" s="16" t="n">
        <x:f>B7*'기본 수치'!D11/D7</x:f>
        <x:v>4.666666666666667</x:v>
      </x:c>
      <x:c r="F7" s="16" t="n">
        <x:f>(B7*'기본 수치'!D11+C7)/D7</x:f>
        <x:v>6</x:v>
      </x:c>
      <x:c r="G7" s="16" t="n">
        <x:f>'기본 수치'!D12*(1+D21+IF(G21="화약",'모듈과 증폭'!E31,0))</x:f>
        <x:v>24</x:v>
      </x:c>
      <x:c r="H7" s="16" t="n">
        <x:f>'기본 수치'!D13</x:f>
        <x:v>3</x:v>
      </x:c>
    </x:row>
    <x:row r="8" ht="35" customHeight="1">
      <x:c r="A8" s="10" t="str">
        <x:v>투석 심층암</x:v>
      </x:c>
      <x:c r="B8" s="16" t="n">
        <x:f>'기본 수치'!E6*(1+B22+IF(G22="화약",'모듈과 증폭'!C31,0))</x:f>
        <x:v>18</x:v>
      </x:c>
      <x:c r="C8" s="16" t="n">
        <x:f>'기본 수치'!E7*(1+B22+IF(G22="화약",'모듈과 증폭'!C31,0))</x:f>
        <x:v>4</x:v>
      </x:c>
      <x:c r="D8" s="16" t="n">
        <x:f>MAX('기본 수치'!E28,'기본 수치'!E8/(1+C22+IF(G22="블레이즈 가루",'모듈과 증폭'!D30,0)))</x:f>
        <x:v>3</x:v>
      </x:c>
      <x:c r="E8" s="16" t="n">
        <x:f>B8*'기본 수치'!E11/D8</x:f>
        <x:v>6</x:v>
      </x:c>
      <x:c r="F8" s="16" t="n">
        <x:f>(B8*'기본 수치'!E11+C8)/D8</x:f>
        <x:v>7.333333333333333</x:v>
      </x:c>
      <x:c r="G8" s="16" t="n">
        <x:f>'기본 수치'!E12*(1+D22+IF(G22="화약",'모듈과 증폭'!E31,0))</x:f>
        <x:v>21</x:v>
      </x:c>
      <x:c r="H8" s="16" t="n">
        <x:f>'기본 수치'!E13</x:f>
        <x:v>3.5</x:v>
      </x:c>
    </x:row>
    <x:row r="9" ht="35" customHeight="1">
      <x:c r="A9" s="11" t="str">
        <x:v>화염</x:v>
      </x:c>
      <x:c r="B9" s="16" t="n">
        <x:f>'기본 수치'!F6*(1+B23+IF(G23="용암",'모듈과 증폭'!C32,0))</x:f>
        <x:v>2</x:v>
      </x:c>
      <x:c r="C9" s="16" t="n">
        <x:f>'기본 수치'!F7*(1+B23+IF(G23="용암",'모듈과 증폭'!C32,0))</x:f>
        <x:v>0</x:v>
      </x:c>
      <x:c r="D9" s="16" t="n">
        <x:f>MAX('기본 수치'!F28,'기본 수치'!F9+'기본 수치'!F10/(1+C23))</x:f>
        <x:v>1.5</x:v>
      </x:c>
      <x:c r="E9" s="16" t="n">
        <x:f>B9*'기본 수치'!F11/D9</x:f>
        <x:v>5.333333333333333</x:v>
      </x:c>
      <x:c r="F9" s="16" t="n">
        <x:f>(B9*'기본 수치'!F11+C9)/D9</x:f>
        <x:v>5.333333333333333</x:v>
      </x:c>
      <x:c r="G9" s="16" t="n">
        <x:f>'기본 수치'!F12+D23</x:f>
        <x:v>4</x:v>
      </x:c>
      <x:c r="H9" s="16" t="n">
        <x:f>'기본 수치'!F13</x:f>
        <x:v>0</x:v>
      </x:c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 ht="32" customHeight="1">
      <x:c r="A12" s="9" t="str">
        <x:v>포탑</x:v>
      </x:c>
      <x:c r="B12" s="9" t="str">
        <x:v>발사/분사 횟수/분</x:v>
      </x:c>
      <x:c r="C12" s="9" t="str">
        <x:v>탄약/분</x:v>
      </x:c>
      <x:c r="D12" s="9" t="str">
        <x:v>석탄 환산/분</x:v>
      </x:c>
      <x:c r="E12" s="9" t="str">
        <x:v>종자유 mB/분</x:v>
      </x:c>
      <x:c r="F12" s="9" t="str">
        <x:v>증폭제/분</x:v>
      </x:c>
      <x:c r="G12" s="9" t="str">
        <x:v>화상 DPS</x:v>
      </x:c>
      <x:c r="H12" s="9" t="str">
        <x:v>분사당 기름 mB</x:v>
      </x:c>
    </x:row>
    <x:row r="13" ht="40" customHeight="1">
      <x:c r="A13" s="10" t="str">
        <x:v>화살</x:v>
      </x:c>
      <x:c r="B13" s="16" t="n">
        <x:f>60/D6</x:f>
        <x:v>75</x:v>
      </x:c>
      <x:c r="C13" s="16" t="n">
        <x:f>B13*'기본 수치'!C16</x:f>
        <x:v>75</x:v>
      </x:c>
      <x:c r="D13" s="16" t="n">
        <x:f>0</x:f>
        <x:v>0</x:v>
      </x:c>
      <x:c r="E13" s="16" t="n">
        <x:f>B13*H13</x:f>
        <x:v>0</x:v>
      </x:c>
      <x:c r="F13" s="16" t="n">
        <x:f>0</x:f>
        <x:v>0</x:v>
      </x:c>
      <x:c r="G13" s="16" t="n">
        <x:f>0</x:f>
        <x:v>0</x:v>
      </x:c>
      <x:c r="H13" s="16" t="n">
        <x:f>0</x:f>
        <x:v>0</x:v>
      </x:c>
    </x:row>
    <x:row r="14" ht="40" customHeight="1">
      <x:c r="A14" s="11" t="str">
        <x:v>투석 일반</x:v>
      </x:c>
      <x:c r="B14" s="16" t="n">
        <x:f>60/D7</x:f>
        <x:v>20</x:v>
      </x:c>
      <x:c r="C14" s="16" t="n">
        <x:f>B14*'기본 수치'!D16</x:f>
        <x:v>20</x:v>
      </x:c>
      <x:c r="D14" s="16" t="n">
        <x:f>C14/'기본 수치'!D17</x:f>
        <x:v>2.5</x:v>
      </x:c>
      <x:c r="E14" s="16" t="n">
        <x:f>B14*H14</x:f>
        <x:v>0</x:v>
      </x:c>
      <x:c r="F14" s="16" t="n">
        <x:f>IF(G21="없음",0,B14/'모듈과 증폭'!D36)</x:f>
        <x:v>0</x:v>
      </x:c>
      <x:c r="G14" s="16" t="n">
        <x:f>0</x:f>
        <x:v>0</x:v>
      </x:c>
      <x:c r="H14" s="16" t="n">
        <x:f>0</x:f>
        <x:v>0</x:v>
      </x:c>
    </x:row>
    <x:row r="15" ht="40" customHeight="1">
      <x:c r="A15" s="10" t="str">
        <x:v>투석 심층암</x:v>
      </x:c>
      <x:c r="B15" s="16" t="n">
        <x:f>60/D8</x:f>
        <x:v>20</x:v>
      </x:c>
      <x:c r="C15" s="16" t="n">
        <x:f>B15*'기본 수치'!E16</x:f>
        <x:v>20</x:v>
      </x:c>
      <x:c r="D15" s="16" t="n">
        <x:f>C15/'기본 수치'!E17</x:f>
        <x:v>2.5</x:v>
      </x:c>
      <x:c r="E15" s="16" t="n">
        <x:f>B15*H15</x:f>
        <x:v>0</x:v>
      </x:c>
      <x:c r="F15" s="16" t="n">
        <x:f>IF(G22="없음",0,B15/'모듈과 증폭'!D36)</x:f>
        <x:v>0</x:v>
      </x:c>
      <x:c r="G15" s="16" t="n">
        <x:f>0</x:f>
        <x:v>0</x:v>
      </x:c>
      <x:c r="H15" s="16" t="n">
        <x:f>0</x:f>
        <x:v>0</x:v>
      </x:c>
    </x:row>
    <x:row r="16" ht="40" customHeight="1">
      <x:c r="A16" s="11" t="str">
        <x:v>화염</x:v>
      </x:c>
      <x:c r="B16" s="16" t="n">
        <x:f>60/D9</x:f>
        <x:v>40</x:v>
      </x:c>
      <x:c r="C16" s="16" t="n">
        <x:f>B16*'기본 수치'!F16</x:f>
        <x:v>0</x:v>
      </x:c>
      <x:c r="D16" s="16" t="n">
        <x:f>0</x:f>
        <x:v>0</x:v>
      </x:c>
      <x:c r="E16" s="16" t="n">
        <x:f>B16*H16</x:f>
        <x:v>800</x:v>
      </x:c>
      <x:c r="F16" s="16" t="n">
        <x:f>IF(G23="용암",B16*'기본 수치'!F9*'기본 수치'!C35*'모듈과 증폭'!D37,0)</x:f>
        <x:v>0</x:v>
      </x:c>
      <x:c r="G16" s="16" t="n">
        <x:f>'기본 수치'!F19*(1+B23+E23+IF(G23="용암",'모듈과 증폭'!C32,0))</x:f>
        <x:v>1</x:v>
      </x:c>
      <x:c r="H16" s="16" t="n">
        <x:f>'기본 수치'!F9*'기본 수치'!C35*'기본 수치'!F18</x:f>
        <x:v>20</x:v>
      </x:c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 ht="32" customHeight="1">
      <x:c r="A19" s="9" t="str">
        <x:v>포탑</x:v>
      </x:c>
      <x:c r="B19" s="9" t="str">
        <x:v>공격력 합산</x:v>
      </x:c>
      <x:c r="C19" s="9" t="str">
        <x:v>공속 합산</x:v>
      </x:c>
      <x:c r="D19" s="9" t="str">
        <x:v>사거리 보너스</x:v>
      </x:c>
      <x:c r="E19" s="9" t="str">
        <x:v>화상 전용 보너스</x:v>
      </x:c>
      <x:c r="F19" s="9" t="str">
        <x:v>각도 추가(도)</x:v>
      </x:c>
      <x:c r="G19" s="9" t="str">
        <x:v>증폭 종류</x:v>
      </x:c>
      <x:c r="H19" s="9" t="str">
        <x:v>방사각 결과</x:v>
      </x:c>
    </x:row>
    <x:row r="20" ht="36" customHeight="1">
      <x:c r="A20" s="10" t="str">
        <x:v>화살</x:v>
      </x:c>
      <x:c r="B20" s="15" t="n">
        <x:v>0</x:v>
      </x:c>
      <x:c r="C20" s="15" t="n">
        <x:v>0</x:v>
      </x:c>
      <x:c r="D20" s="15" t="n">
        <x:v>0</x:v>
      </x:c>
      <x:c r="E20" s="15" t="n">
        <x:v>0</x:v>
      </x:c>
      <x:c r="F20" s="18" t="n">
        <x:v>0</x:v>
      </x:c>
      <x:c r="G20" s="22" t="str">
        <x:v>없음</x:v>
      </x:c>
      <x:c r="H20" s="26" t="n">
        <x:f>0</x:f>
        <x:v>0</x:v>
      </x:c>
    </x:row>
    <x:row r="21" ht="36" customHeight="1">
      <x:c r="A21" s="11" t="str">
        <x:v>투석 일반</x:v>
      </x:c>
      <x:c r="B21" s="15" t="n">
        <x:v>0</x:v>
      </x:c>
      <x:c r="C21" s="15" t="n">
        <x:v>0</x:v>
      </x:c>
      <x:c r="D21" s="15" t="n">
        <x:v>0</x:v>
      </x:c>
      <x:c r="E21" s="15" t="n">
        <x:v>0</x:v>
      </x:c>
      <x:c r="F21" s="18" t="n">
        <x:v>0</x:v>
      </x:c>
      <x:c r="G21" s="22" t="str">
        <x:v>없음</x:v>
      </x:c>
      <x:c r="H21" s="26" t="n">
        <x:f>0</x:f>
        <x:v>0</x:v>
      </x:c>
    </x:row>
    <x:row r="22" ht="36" customHeight="1">
      <x:c r="A22" s="10" t="str">
        <x:v>투석 심층암</x:v>
      </x:c>
      <x:c r="B22" s="15" t="n">
        <x:v>0</x:v>
      </x:c>
      <x:c r="C22" s="15" t="n">
        <x:v>0</x:v>
      </x:c>
      <x:c r="D22" s="15" t="n">
        <x:v>0</x:v>
      </x:c>
      <x:c r="E22" s="15" t="n">
        <x:v>0</x:v>
      </x:c>
      <x:c r="F22" s="18" t="n">
        <x:v>0</x:v>
      </x:c>
      <x:c r="G22" s="22" t="str">
        <x:v>없음</x:v>
      </x:c>
      <x:c r="H22" s="26" t="n">
        <x:f>0</x:f>
        <x:v>0</x:v>
      </x:c>
    </x:row>
    <x:row r="23" ht="36" customHeight="1">
      <x:c r="A23" s="11" t="str">
        <x:v>화염</x:v>
      </x:c>
      <x:c r="B23" s="15" t="n">
        <x:v>0</x:v>
      </x:c>
      <x:c r="C23" s="15" t="n">
        <x:v>0</x:v>
      </x:c>
      <x:c r="D23" s="20" t="n">
        <x:v>0</x:v>
      </x:c>
      <x:c r="E23" s="15" t="n">
        <x:v>0</x:v>
      </x:c>
      <x:c r="F23" s="18" t="n">
        <x:v>0</x:v>
      </x:c>
      <x:c r="G23" s="22" t="str">
        <x:v>없음</x:v>
      </x:c>
      <x:c r="H23" s="26" t="n">
        <x:f>MIN('모듈과 증폭'!D26,'기본 수치'!F14+F23)</x:f>
        <x:v>90</x:v>
      </x:c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 t="str">
        <x:v>입력 규칙</x:v>
      </x:c>
      <x:c r="B26" s="2"/>
      <x:c r="C26" s="2"/>
      <x:c r="D26" s="2"/>
      <x:c r="E26" s="2"/>
      <x:c r="F26" s="2"/>
      <x:c r="G26" s="2"/>
      <x:c r="H26" s="2"/>
    </x:row>
    <x:row r="27">
      <x:c r="A27" s="2" t="str">
        <x:v>모듈 2칸의 효과를 합산해 입력. 화염 사거리만 블록 단위, 나머지 사거리 보너스는 비율.</x:v>
      </x:c>
      <x:c r="B27" s="2"/>
      <x:c r="C27" s="2"/>
      <x:c r="D27" s="2"/>
      <x:c r="E27" s="2"/>
      <x:c r="F27" s="2"/>
      <x:c r="G27" s="2"/>
      <x:c r="H27" s="2"/>
    </x:row>
    <x:row r="28">
      <x:c r="A28" s="2" t="str">
        <x:v>화살 다중발사·관통·도탄, 투석 집속·범위 모듈은 이 표의 단일 대상 DPS에 포함하지 않음.</x:v>
      </x:c>
      <x:c r="B28" s="2"/>
      <x:c r="C28" s="2"/>
      <x:c r="D28" s="2"/>
      <x:c r="E28" s="2"/>
      <x:c r="F28" s="2"/>
      <x:c r="G28" s="2"/>
      <x:c r="H28" s="2"/>
    </x:row>
    <x:row r="29">
      <x:c r="A29" s="2" t="str">
        <x:v>공격력·증폭·화상 전용 보너스는 기준 화상 피해에 합산. 화상은 동일 포탑 재적중 시 갱신.</x:v>
      </x:c>
      <x:c r="B29" s="2"/>
      <x:c r="C29" s="2"/>
      <x:c r="D29" s="2"/>
      <x:c r="E29" s="2"/>
      <x:c r="F29" s="2"/>
      <x:c r="G29" s="2"/>
      <x:c r="H29" s="2"/>
    </x:row>
    <x:row r="30">
      <x:c r="A30" s="2" t="str">
        <x:v>화염 공속: 분사시간 + 휴지시간/(1+공속). 공격 주기 전체를 나누는 방식과 다름.</x:v>
      </x:c>
      <x:c r="B30" s="2"/>
      <x:c r="C30" s="2"/>
      <x:c r="D30" s="2"/>
      <x:c r="E30" s="2"/>
      <x:c r="F30" s="2"/>
      <x:c r="G30" s="2"/>
      <x:c r="H30" s="2"/>
    </x:row>
    <x:row r="31">
      <x:c r="A31" s="2" t="str">
        <x:v>증폭제/분: 투석은 개/분, 화염은 mB/분. 실제 소비는 잔여 발수와 분사틱으로 처리.</x:v>
      </x:c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</x:sheetData>
  <x:dataValidations count="3">
    <x:dataValidation type="list" sqref="G20">
      <x:formula1>"없음"</x:formula1>
    </x:dataValidation>
    <x:dataValidation type="list" sqref="G21:G22">
      <x:formula1>"없음,블레이즈 가루,화약"</x:formula1>
    </x:dataValidation>
    <x:dataValidation type="list" sqref="G23">
      <x:formula1>"없음,용암"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0496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60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포탑 기본 수치 제안</x:v>
      </x:c>
      <x:c r="B2" s="2"/>
      <x:c r="C2" s="2"/>
      <x:c r="D2" s="2"/>
      <x:c r="E2" s="2"/>
      <x:c r="F2" s="2"/>
      <x:c r="G2" s="2"/>
    </x:row>
    <x:row r="3">
      <x:c r="A3" s="4" t="str">
        <x:v>출처: 설계 대화 2026-10-26. 모든 전투 수치는 제안이며 게임 실측값이 아님. 황색 셀은 입력값.</x:v>
      </x:c>
      <x:c r="B3" s="2"/>
      <x:c r="C3" s="2"/>
      <x:c r="D3" s="2"/>
      <x:c r="E3" s="2"/>
      <x:c r="F3" s="2"/>
      <x:c r="G3" s="2"/>
    </x:row>
    <x:row r="4">
      <x:c r="A4" s="5"/>
      <x:c r="B4" s="5"/>
      <x:c r="C4" s="5"/>
      <x:c r="D4" s="5"/>
      <x:c r="E4" s="5"/>
      <x:c r="F4" s="5"/>
      <x:c r="G4" s="5"/>
    </x:row>
    <x:row r="5" ht="32" customHeight="1">
      <x:c r="A5" s="9" t="str">
        <x:v>항목</x:v>
      </x:c>
      <x:c r="B5" s="9" t="str">
        <x:v>단위</x:v>
      </x:c>
      <x:c r="C5" s="9" t="str">
        <x:v>화살</x:v>
      </x:c>
      <x:c r="D5" s="9" t="str">
        <x:v>투석 일반</x:v>
      </x:c>
      <x:c r="E5" s="9" t="str">
        <x:v>투석 심층암</x:v>
      </x:c>
      <x:c r="F5" s="9" t="str">
        <x:v>화염</x:v>
      </x:c>
      <x:c r="G5" s="9" t="str">
        <x:v>정의</x:v>
      </x:c>
    </x:row>
    <x:row r="6" ht="36" customHeight="1">
      <x:c r="A6" s="10" t="str">
        <x:v>직접 피해</x:v>
      </x:c>
      <x:c r="B6" s="10" t="str">
        <x:v>HP</x:v>
      </x:c>
      <x:c r="C6" s="14" t="n">
        <x:v>4</x:v>
      </x:c>
      <x:c r="D6" s="14" t="n">
        <x:v>14</x:v>
      </x:c>
      <x:c r="E6" s="14" t="n">
        <x:v>18</x:v>
      </x:c>
      <x:c r="F6" s="14" t="n">
        <x:v>2</x:v>
      </x:c>
      <x:c r="G6" s="10" t="str">
        <x:v>화염은 판정 1회, 투석은 폭발 중심 피해. 방어력 적용 전.</x:v>
      </x:c>
    </x:row>
    <x:row r="7" ht="36" customHeight="1">
      <x:c r="A7" s="11" t="str">
        <x:v>직격 추가 피해</x:v>
      </x:c>
      <x:c r="B7" s="11" t="str">
        <x:v>HP</x:v>
      </x:c>
      <x:c r="C7" s="14" t="n">
        <x:v>0</x:v>
      </x:c>
      <x:c r="D7" s="14" t="n">
        <x:v>4</x:v>
      </x:c>
      <x:c r="E7" s="14" t="n">
        <x:v>4</x:v>
      </x:c>
      <x:c r="F7" s="14" t="n">
        <x:v>0</x:v>
      </x:c>
      <x:c r="G7" s="11" t="str">
        <x:v>투석 직격 대상은 폭발과 직격 피해를 함께 받음.</x:v>
      </x:c>
    </x:row>
    <x:row r="8" ht="36" customHeight="1">
      <x:c r="A8" s="10" t="str">
        <x:v>기본 주기</x:v>
      </x:c>
      <x:c r="B8" s="10" t="str">
        <x:v>초</x:v>
      </x:c>
      <x:c r="C8" s="14" t="n">
        <x:v>0.8</x:v>
      </x:c>
      <x:c r="D8" s="14" t="n">
        <x:v>3</x:v>
      </x:c>
      <x:c r="E8" s="14" t="n">
        <x:v>3</x:v>
      </x:c>
      <x:c r="F8" s="16" t="n">
        <x:f>F9+F10</x:f>
        <x:v>1.5</x:v>
      </x:c>
      <x:c r="G8" s="10" t="str">
        <x:v>화염 기본 주기는 분사 시간 + 휴지 시간으로 계산.</x:v>
      </x:c>
    </x:row>
    <x:row r="9" ht="36" customHeight="1">
      <x:c r="A9" s="11" t="str">
        <x:v>분사 시간</x:v>
      </x:c>
      <x:c r="B9" s="11" t="str">
        <x:v>초</x:v>
      </x:c>
      <x:c r="C9" s="14" t="n">
        <x:v>0</x:v>
      </x:c>
      <x:c r="D9" s="14" t="n">
        <x:v>0</x:v>
      </x:c>
      <x:c r="E9" s="14" t="n">
        <x:v>0</x:v>
      </x:c>
      <x:c r="F9" s="14" t="n">
        <x:v>0.5</x:v>
      </x:c>
      <x:c r="G9" s="11" t="str">
        <x:v>화염 공속 강화로 바뀌지 않음.</x:v>
      </x:c>
    </x:row>
    <x:row r="10" ht="36" customHeight="1">
      <x:c r="A10" s="10" t="str">
        <x:v>휴지 시간</x:v>
      </x:c>
      <x:c r="B10" s="10" t="str">
        <x:v>초</x:v>
      </x:c>
      <x:c r="C10" s="14" t="n">
        <x:v>0</x:v>
      </x:c>
      <x:c r="D10" s="14" t="n">
        <x:v>0</x:v>
      </x:c>
      <x:c r="E10" s="14" t="n">
        <x:v>0</x:v>
      </x:c>
      <x:c r="F10" s="14" t="n">
        <x:v>1</x:v>
      </x:c>
      <x:c r="G10" s="10" t="str">
        <x:v>화염 공속 강화는 휴지 시간을 나누어 단축.</x:v>
      </x:c>
    </x:row>
    <x:row r="11" ht="36" customHeight="1">
      <x:c r="A11" s="11" t="str">
        <x:v>분사당 피해 판정</x:v>
      </x:c>
      <x:c r="B11" s="11" t="str">
        <x:v>회</x:v>
      </x:c>
      <x:c r="C11" s="14" t="n">
        <x:v>1</x:v>
      </x:c>
      <x:c r="D11" s="14" t="n">
        <x:v>1</x:v>
      </x:c>
      <x:c r="E11" s="14" t="n">
        <x:v>1</x:v>
      </x:c>
      <x:c r="F11" s="14" t="n">
        <x:v>4</x:v>
      </x:c>
      <x:c r="G11" s="11" t="str">
        <x:v>분사 도중 대상이 계속 범위에 있을 때.</x:v>
      </x:c>
    </x:row>
    <x:row r="12" ht="36" customHeight="1">
      <x:c r="A12" s="10" t="str">
        <x:v>사거리</x:v>
      </x:c>
      <x:c r="B12" s="10" t="str">
        <x:v>블록</x:v>
      </x:c>
      <x:c r="C12" s="14" t="n">
        <x:v>16</x:v>
      </x:c>
      <x:c r="D12" s="14" t="n">
        <x:v>24</x:v>
      </x:c>
      <x:c r="E12" s="14" t="n">
        <x:v>21</x:v>
      </x:c>
      <x:c r="F12" s="14" t="n">
        <x:v>4</x:v>
      </x:c>
      <x:c r="G12" s="10" t="str">
        <x:v>일반 돌보다 심층암은 사거리가 짧음.</x:v>
      </x:c>
    </x:row>
    <x:row r="13" ht="36" customHeight="1">
      <x:c r="A13" s="11" t="str">
        <x:v>공격 범위</x:v>
      </x:c>
      <x:c r="B13" s="11" t="str">
        <x:v>블록</x:v>
      </x:c>
      <x:c r="C13" s="14" t="n">
        <x:v>0</x:v>
      </x:c>
      <x:c r="D13" s="14" t="n">
        <x:v>3</x:v>
      </x:c>
      <x:c r="E13" s="14" t="n">
        <x:v>3.5</x:v>
      </x:c>
      <x:c r="F13" s="14" t="n">
        <x:v>0</x:v>
      </x:c>
      <x:c r="G13" s="11" t="str">
        <x:v>투석 폭발 반경. 화염은 사거리와 방사각으로 판정.</x:v>
      </x:c>
    </x:row>
    <x:row r="14" ht="36" customHeight="1">
      <x:c r="A14" s="10" t="str">
        <x:v>방사각</x:v>
      </x:c>
      <x:c r="B14" s="10" t="str">
        <x:v>도</x:v>
      </x:c>
      <x:c r="C14" s="14" t="n">
        <x:v>0</x:v>
      </x:c>
      <x:c r="D14" s="14" t="n">
        <x:v>0</x:v>
      </x:c>
      <x:c r="E14" s="14" t="n">
        <x:v>0</x:v>
      </x:c>
      <x:c r="F14" s="14" t="n">
        <x:v>90</x:v>
      </x:c>
      <x:c r="G14" s="10" t="str">
        <x:v>화염 최대 360도.</x:v>
      </x:c>
    </x:row>
    <x:row r="15" ht="36" customHeight="1">
      <x:c r="A15" s="11" t="str">
        <x:v>오발 확률</x:v>
      </x:c>
      <x:c r="B15" s="11" t="str">
        <x:v>비율</x:v>
      </x:c>
      <x:c r="C15" s="15" t="n">
        <x:v>0.15</x:v>
      </x:c>
      <x:c r="D15" s="15" t="n">
        <x:v>0</x:v>
      </x:c>
      <x:c r="E15" s="15" t="n">
        <x:v>0</x:v>
      </x:c>
      <x:c r="F15" s="15" t="n">
        <x:v>0</x:v>
      </x:c>
      <x:c r="G15" s="11" t="str">
        <x:v>화살만 별도 확률. 투석은 느린 탄속에 따른 실제 빗나감.</x:v>
      </x:c>
    </x:row>
    <x:row r="16" ht="36" customHeight="1">
      <x:c r="A16" s="10" t="str">
        <x:v>탄약 소비</x:v>
      </x:c>
      <x:c r="B16" s="10" t="str">
        <x:v>개/공격</x:v>
      </x:c>
      <x:c r="C16" s="14" t="n">
        <x:v>1</x:v>
      </x:c>
      <x:c r="D16" s="14" t="n">
        <x:v>1</x:v>
      </x:c>
      <x:c r="E16" s="14" t="n">
        <x:v>1</x:v>
      </x:c>
      <x:c r="F16" s="14" t="n">
        <x:v>0</x:v>
      </x:c>
      <x:c r="G16" s="10" t="str">
        <x:v>다중발사 시 화살은 실제 발사 수만큼 소비.</x:v>
      </x:c>
    </x:row>
    <x:row r="17" ht="36" customHeight="1">
      <x:c r="A17" s="11" t="str">
        <x:v>연료당 발사</x:v>
      </x:c>
      <x:c r="B17" s="11" t="str">
        <x:v>발/개</x:v>
      </x:c>
      <x:c r="C17" s="14" t="n">
        <x:v>0</x:v>
      </x:c>
      <x:c r="D17" s="14" t="n">
        <x:v>8</x:v>
      </x:c>
      <x:c r="E17" s="14" t="n">
        <x:v>8</x:v>
      </x:c>
      <x:c r="F17" s="14" t="n">
        <x:v>0</x:v>
      </x:c>
      <x:c r="G17" s="11" t="str">
        <x:v>석탄·목탄 동등. 석탄 블록은 9개분.</x:v>
      </x:c>
    </x:row>
    <x:row r="18" ht="36" customHeight="1">
      <x:c r="A18" s="10" t="str">
        <x:v>종자유 소비</x:v>
      </x:c>
      <x:c r="B18" s="10" t="str">
        <x:v>mB/분사틱</x:v>
      </x:c>
      <x:c r="C18" s="14" t="n">
        <x:v>0</x:v>
      </x:c>
      <x:c r="D18" s="14" t="n">
        <x:v>0</x:v>
      </x:c>
      <x:c r="E18" s="14" t="n">
        <x:v>0</x:v>
      </x:c>
      <x:c r="F18" s="14" t="n">
        <x:v>2</x:v>
      </x:c>
      <x:c r="G18" s="10" t="str">
        <x:v>정상 20TPS. 대상 수와 무관하게 실제 분사 시간에 비례.</x:v>
      </x:c>
    </x:row>
    <x:row r="19" ht="36" customHeight="1">
      <x:c r="A19" s="11" t="str">
        <x:v>잔류 화상</x:v>
      </x:c>
      <x:c r="B19" s="11" t="str">
        <x:v>HP/초</x:v>
      </x:c>
      <x:c r="C19" s="14" t="n">
        <x:v>0</x:v>
      </x:c>
      <x:c r="D19" s="14" t="n">
        <x:v>0</x:v>
      </x:c>
      <x:c r="E19" s="14" t="n">
        <x:v>0</x:v>
      </x:c>
      <x:c r="F19" s="14" t="n">
        <x:v>1</x:v>
      </x:c>
      <x:c r="G19" s="11" t="str">
        <x:v>다른 포탑끼리 중첩. 같은 포탑은 지속시간 갱신.</x:v>
      </x:c>
    </x:row>
    <x:row r="20" ht="36" customHeight="1">
      <x:c r="A20" s="10" t="str">
        <x:v>화상 지속시간</x:v>
      </x:c>
      <x:c r="B20" s="10" t="str">
        <x:v>초</x:v>
      </x:c>
      <x:c r="C20" s="14" t="n">
        <x:v>0</x:v>
      </x:c>
      <x:c r="D20" s="14" t="n">
        <x:v>0</x:v>
      </x:c>
      <x:c r="E20" s="14" t="n">
        <x:v>0</x:v>
      </x:c>
      <x:c r="F20" s="14" t="n">
        <x:v>4</x:v>
      </x:c>
      <x:c r="G20" s="10" t="str">
        <x:v>마지막 적중 시점부터 계산.</x:v>
      </x:c>
    </x:row>
    <x:row r="21" ht="36" customHeight="1">
      <x:c r="A21" s="11" t="str">
        <x:v>수평 조준속도</x:v>
      </x:c>
      <x:c r="B21" s="11" t="str">
        <x:v>도/초</x:v>
      </x:c>
      <x:c r="C21" s="14" t="n">
        <x:v>180</x:v>
      </x:c>
      <x:c r="D21" s="14" t="n">
        <x:v>90</x:v>
      </x:c>
      <x:c r="E21" s="14" t="n">
        <x:v>90</x:v>
      </x:c>
      <x:c r="F21" s="14" t="n">
        <x:v>0</x:v>
      </x:c>
      <x:c r="G21" s="11" t="str">
        <x:v>투석 90은 추가 제안. 화염은 즉시 조준.</x:v>
      </x:c>
    </x:row>
    <x:row r="22" ht="36" customHeight="1">
      <x:c r="A22" s="10" t="str">
        <x:v>수직 조준속도</x:v>
      </x:c>
      <x:c r="B22" s="10" t="str">
        <x:v>도/초</x:v>
      </x:c>
      <x:c r="C22" s="14" t="n">
        <x:v>120</x:v>
      </x:c>
      <x:c r="D22" s="14" t="n">
        <x:v>60</x:v>
      </x:c>
      <x:c r="E22" s="14" t="n">
        <x:v>60</x:v>
      </x:c>
      <x:c r="F22" s="14" t="n">
        <x:v>0</x:v>
      </x:c>
      <x:c r="G22" s="10" t="str">
        <x:v>투석 60은 추가 제안.</x:v>
      </x:c>
    </x:row>
    <x:row r="23" ht="36" customHeight="1">
      <x:c r="A23" s="11" t="str">
        <x:v>발사 허용 오차</x:v>
      </x:c>
      <x:c r="B23" s="11" t="str">
        <x:v>도</x:v>
      </x:c>
      <x:c r="C23" s="14" t="n">
        <x:v>5</x:v>
      </x:c>
      <x:c r="D23" s="14" t="n">
        <x:v>5</x:v>
      </x:c>
      <x:c r="E23" s="14" t="n">
        <x:v>5</x:v>
      </x:c>
      <x:c r="F23" s="14" t="n">
        <x:v>0</x:v>
      </x:c>
      <x:c r="G23" s="11" t="str">
        <x:v>회전 중 사선이 확보되어도 오차 조건 충족 필요.</x:v>
      </x:c>
    </x:row>
    <x:row r="24" ht="36" customHeight="1">
      <x:c r="A24" s="10" t="str">
        <x:v>초기 탄속</x:v>
      </x:c>
      <x:c r="B24" s="10" t="str">
        <x:v>블록/틱</x:v>
      </x:c>
      <x:c r="C24" s="14" t="n">
        <x:v>2.4</x:v>
      </x:c>
      <x:c r="D24" s="14" t="n">
        <x:v>1.25</x:v>
      </x:c>
      <x:c r="E24" s="14" t="n">
        <x:v>1.25</x:v>
      </x:c>
      <x:c r="F24" s="14" t="n">
        <x:v>0</x:v>
      </x:c>
      <x:c r="G24" s="10" t="str">
        <x:v>투석 탄속은 새 제안. 중력·항력과 함께 탄도 검증 필요.</x:v>
      </x:c>
    </x:row>
    <x:row r="25" ht="36" customHeight="1">
      <x:c r="A25" s="11" t="str">
        <x:v>오발 최소 오차</x:v>
      </x:c>
      <x:c r="B25" s="11" t="str">
        <x:v>도</x:v>
      </x:c>
      <x:c r="C25" s="14" t="n">
        <x:v>4</x:v>
      </x:c>
      <x:c r="D25" s="14" t="n">
        <x:v>0</x:v>
      </x:c>
      <x:c r="E25" s="14" t="n">
        <x:v>0</x:v>
      </x:c>
      <x:c r="F25" s="14" t="n">
        <x:v>0</x:v>
      </x:c>
      <x:c r="G25" s="11" t="str">
        <x:v>오발 시 추가 각도 오차의 하한.</x:v>
      </x:c>
    </x:row>
    <x:row r="26" ht="36" customHeight="1">
      <x:c r="A26" s="10" t="str">
        <x:v>오발 최대 오차</x:v>
      </x:c>
      <x:c r="B26" s="10" t="str">
        <x:v>도</x:v>
      </x:c>
      <x:c r="C26" s="14" t="n">
        <x:v>10</x:v>
      </x:c>
      <x:c r="D26" s="14" t="n">
        <x:v>0</x:v>
      </x:c>
      <x:c r="E26" s="14" t="n">
        <x:v>0</x:v>
      </x:c>
      <x:c r="F26" s="14" t="n">
        <x:v>0</x:v>
      </x:c>
      <x:c r="G26" s="10" t="str">
        <x:v>오발 시 추가 각도 오차의 상한.</x:v>
      </x:c>
    </x:row>
    <x:row r="27" ht="36" customHeight="1">
      <x:c r="A27" s="11" t="str">
        <x:v>수직 범위 반경</x:v>
      </x:c>
      <x:c r="B27" s="11" t="str">
        <x:v>블록</x:v>
      </x:c>
      <x:c r="C27" s="14" t="n">
        <x:v>0</x:v>
      </x:c>
      <x:c r="D27" s="14" t="n">
        <x:v>0</x:v>
      </x:c>
      <x:c r="E27" s="14" t="n">
        <x:v>0</x:v>
      </x:c>
      <x:c r="F27" s="14" t="n">
        <x:v>2</x:v>
      </x:c>
      <x:c r="G27" s="11" t="str">
        <x:v>화염 분사구 위아래 범위.</x:v>
      </x:c>
    </x:row>
    <x:row r="28" ht="55" customHeight="1">
      <x:c r="A28" s="10" t="str">
        <x:v>최소 공격 주기</x:v>
      </x:c>
      <x:c r="B28" s="10" t="str">
        <x:v>초</x:v>
      </x:c>
      <x:c r="C28" s="14" t="n">
        <x:v>0.2</x:v>
      </x:c>
      <x:c r="D28" s="14" t="n">
        <x:v>0.75</x:v>
      </x:c>
      <x:c r="E28" s="14" t="n">
        <x:v>0.6</x:v>
      </x:c>
      <x:c r="F28" s="14" t="str">
        <x:v>추가 제안. 화염은 최소 휴지 0.1초와 분사 0.5초.</x:v>
      </x:c>
      <x:c r="G28" s="10" t="str"/>
    </x:row>
    <x:row r="29" ht="36" customHeight="1">
      <x:c r="A29" s="11" t="str">
        <x:v>기본 탄약 슬롯</x:v>
      </x:c>
      <x:c r="B29" s="11" t="str">
        <x:v>칸</x:v>
      </x:c>
      <x:c r="C29" s="14" t="n">
        <x:v>9</x:v>
      </x:c>
      <x:c r="D29" s="14" t="n">
        <x:v>8</x:v>
      </x:c>
      <x:c r="E29" s="14" t="n">
        <x:v>8</x:v>
      </x:c>
      <x:c r="F29" s="14" t="n">
        <x:v>0</x:v>
      </x:c>
      <x:c r="G29" s="11" t="str">
        <x:v>확정 저장 규격. 투석 연료 슬롯은 별도 1칸.</x:v>
      </x:c>
    </x:row>
    <x:row r="30" ht="36" customHeight="1">
      <x:c r="A30" s="10" t="str">
        <x:v>종자유 탱크</x:v>
      </x:c>
      <x:c r="B30" s="10" t="str">
        <x:v>mB</x:v>
      </x:c>
      <x:c r="C30" s="14" t="n">
        <x:v>0</x:v>
      </x:c>
      <x:c r="D30" s="14" t="n">
        <x:v>0</x:v>
      </x:c>
      <x:c r="E30" s="14" t="n">
        <x:v>0</x:v>
      </x:c>
      <x:c r="F30" s="14" t="n">
        <x:v>9000</x:v>
      </x:c>
      <x:c r="G30" s="10" t="str">
        <x:v>확정 규격. 증폭 유체 탱크는 별도 1000mB.</x:v>
      </x:c>
    </x:row>
    <x:row r="31">
      <x:c r="A31" s="2"/>
      <x:c r="B31" s="2"/>
      <x:c r="C31" s="2"/>
      <x:c r="D31" s="2"/>
      <x:c r="E31" s="2"/>
      <x:c r="F31" s="2"/>
      <x:c r="G31" s="2"/>
    </x:row>
    <x:row r="32">
      <x:c r="A32" s="2"/>
      <x:c r="B32" s="2"/>
      <x:c r="C32" s="2"/>
      <x:c r="D32" s="2"/>
      <x:c r="E32" s="2"/>
      <x:c r="F32" s="2"/>
      <x:c r="G32" s="2"/>
    </x:row>
    <x:row r="33">
      <x:c r="A33" s="2" t="str">
        <x:v>생산·시간 환산</x:v>
      </x:c>
      <x:c r="B33" s="2"/>
      <x:c r="C33" s="2"/>
      <x:c r="D33" s="2"/>
      <x:c r="E33" s="2"/>
      <x:c r="F33" s="2"/>
      <x:c r="G33" s="2"/>
    </x:row>
    <x:row r="34" ht="32" customHeight="1">
      <x:c r="A34" s="9" t="str">
        <x:v>항목</x:v>
      </x:c>
      <x:c r="B34" s="9" t="str">
        <x:v>단위</x:v>
      </x:c>
      <x:c r="C34" s="9" t="str">
        <x:v>값</x:v>
      </x:c>
      <x:c r="D34" s="9" t="str">
        <x:v>상태</x:v>
      </x:c>
      <x:c r="E34" s="9" t="str">
        <x:v>근거</x:v>
      </x:c>
      <x:c r="F34" s="2"/>
      <x:c r="G34" s="2"/>
    </x:row>
    <x:row r="35" ht="32" customHeight="1">
      <x:c r="A35" s="10" t="str">
        <x:v>서버 틱</x:v>
      </x:c>
      <x:c r="B35" s="10" t="str">
        <x:v>틱/초</x:v>
      </x:c>
      <x:c r="C35" s="18" t="n">
        <x:v>20</x:v>
      </x:c>
      <x:c r="D35" s="10" t="str">
        <x:v>계산 기준</x:v>
      </x:c>
      <x:c r="E35" s="10" t="str">
        <x:v>정상 TPS 기준.</x:v>
      </x:c>
      <x:c r="F35" s="2"/>
      <x:c r="G35" s="2"/>
    </x:row>
    <x:row r="36" ht="40" customHeight="1">
      <x:c r="A36" s="11" t="str">
        <x:v>수동 배치 씨앗</x:v>
      </x:c>
      <x:c r="B36" s="11" t="str">
        <x:v>개</x:v>
      </x:c>
      <x:c r="C36" s="18" t="n">
        <x:v>10</x:v>
      </x:c>
      <x:c r="D36" s="11" t="str">
        <x:v>기존 구현</x:v>
      </x:c>
      <x:c r="E36" s="11" t="str">
        <x:v>Vinery 종자유 압착</x:v>
      </x:c>
      <x:c r="F36" s="2"/>
      <x:c r="G36" s="2"/>
    </x:row>
    <x:row r="37" ht="40" customHeight="1">
      <x:c r="A37" s="10" t="str">
        <x:v>수동 배치 생산</x:v>
      </x:c>
      <x:c r="B37" s="10" t="str">
        <x:v>mB</x:v>
      </x:c>
      <x:c r="C37" s="18" t="n">
        <x:v>250</x:v>
      </x:c>
      <x:c r="D37" s="10" t="str">
        <x:v>기존 구현</x:v>
      </x:c>
      <x:c r="E37" s="10" t="str">
        <x:v>Vinery 종자유 압착</x:v>
      </x:c>
      <x:c r="F37" s="2"/>
      <x:c r="G37" s="2"/>
    </x:row>
    <x:row r="38" ht="55" customHeight="1">
      <x:c r="A38" s="11" t="str">
        <x:v>Create 씨앗 생산</x:v>
      </x:c>
      <x:c r="B38" s="11" t="str">
        <x:v>mB/개</x:v>
      </x:c>
      <x:c r="C38" s="18" t="n">
        <x:v>100</x:v>
      </x:c>
      <x:c r="D38" s="11" t="str">
        <x:v>설치본 확인</x:v>
      </x:c>
      <x:c r="E38" s="11" t="str">
        <x:v>Create Crafts &amp; Additions 1.6.0 기본 압착</x:v>
      </x:c>
      <x:c r="F38" s="2"/>
      <x:c r="G38" s="2"/>
    </x:row>
    <x:row r="39" ht="40" customHeight="1">
      <x:c r="A39" s="10" t="str">
        <x:v>종자유 병</x:v>
      </x:c>
      <x:c r="B39" s="10" t="str">
        <x:v>mB</x:v>
      </x:c>
      <x:c r="C39" s="18" t="n">
        <x:v>250</x:v>
      </x:c>
      <x:c r="D39" s="10" t="str">
        <x:v>기존 구현</x:v>
      </x:c>
      <x:c r="E39" s="10" t="str">
        <x:v>병 4개는 양동이 1개분.</x:v>
      </x:c>
      <x:c r="F39" s="2"/>
      <x:c r="G39" s="2"/>
    </x:row>
    <x:row r="40" ht="32" customHeight="1">
      <x:c r="A40" s="11" t="str">
        <x:v>양동이</x:v>
      </x:c>
      <x:c r="B40" s="11" t="str">
        <x:v>mB</x:v>
      </x:c>
      <x:c r="C40" s="18" t="n">
        <x:v>1000</x:v>
      </x:c>
      <x:c r="D40" s="11" t="str">
        <x:v>기존 구현</x:v>
      </x:c>
      <x:c r="E40" s="11" t="str">
        <x:v>표준 유체 용기.</x:v>
      </x:c>
      <x:c r="F40" s="2"/>
      <x:c r="G40" s="2"/>
    </x:row>
    <x:row r="41" ht="40" customHeight="1">
      <x:c r="A41" s="10" t="str">
        <x:v>석탄 블록 환산</x:v>
      </x:c>
      <x:c r="B41" s="10" t="str">
        <x:v>석탄 개</x:v>
      </x:c>
      <x:c r="C41" s="18" t="n">
        <x:v>9</x:v>
      </x:c>
      <x:c r="D41" s="10" t="str">
        <x:v>제안</x:v>
      </x:c>
      <x:c r="E41" s="10" t="str">
        <x:v>압축 전후 동등 효율.</x:v>
      </x:c>
      <x:c r="F41" s="2"/>
      <x:c r="G41" s="2"/>
    </x:row>
    <x:row r="42" ht="55" customHeight="1">
      <x:c r="A42" s="11" t="str">
        <x:v>범위 표시 유지</x:v>
      </x:c>
      <x:c r="B42" s="11" t="str">
        <x:v>초</x:v>
      </x:c>
      <x:c r="C42" s="18" t="n">
        <x:v>15</x:v>
      </x:c>
      <x:c r="D42" s="11" t="str">
        <x:v>제안</x:v>
      </x:c>
      <x:c r="E42" s="11" t="str">
        <x:v>각 포탑별 만료. 재클릭하면 시간 갱신.</x:v>
      </x:c>
      <x:c r="F42" s="2"/>
      <x:c r="G42" s="2"/>
    </x:row>
    <x:row r="43">
      <x:c r="A43" s="2"/>
      <x:c r="B43" s="2"/>
      <x:c r="C43" s="2"/>
      <x:c r="D43" s="2"/>
      <x:c r="E43" s="2"/>
      <x:c r="F43" s="2"/>
      <x:c r="G43" s="2"/>
    </x:row>
    <x:row r="44">
      <x:c r="A44" s="2"/>
      <x:c r="B44" s="2"/>
      <x:c r="C44" s="2"/>
      <x:c r="D44" s="2"/>
      <x:c r="E44" s="2"/>
      <x:c r="F44" s="2"/>
      <x:c r="G44" s="2"/>
    </x:row>
    <x:row r="45">
      <x:c r="A45" s="2"/>
      <x:c r="B45" s="2"/>
      <x:c r="C45" s="2"/>
      <x:c r="D45" s="2"/>
      <x:c r="E45" s="2"/>
      <x:c r="F45" s="2"/>
      <x:c r="G45" s="2"/>
    </x:row>
    <x:row r="46">
      <x:c r="A46" s="2"/>
      <x:c r="B46" s="2"/>
      <x:c r="C46" s="2"/>
      <x:c r="D46" s="2"/>
      <x:c r="E46" s="2"/>
      <x:c r="F46" s="2"/>
      <x:c r="G46" s="2"/>
    </x:row>
    <x:row r="47">
      <x:c r="A47" s="2"/>
      <x:c r="B47" s="2"/>
      <x:c r="C47" s="2"/>
      <x:c r="D47" s="2"/>
      <x:c r="E47" s="2"/>
      <x:c r="F47" s="2"/>
      <x:c r="G47" s="2"/>
    </x:row>
    <x:row r="48">
      <x:c r="A48" s="2"/>
      <x:c r="B48" s="2"/>
      <x:c r="C48" s="2"/>
      <x:c r="D48" s="2"/>
      <x:c r="E48" s="2"/>
      <x:c r="F48" s="2"/>
      <x:c r="G48" s="2"/>
    </x:row>
    <x:row r="49">
      <x:c r="A49" s="2"/>
      <x:c r="B49" s="2"/>
      <x:c r="C49" s="2"/>
      <x:c r="D49" s="2"/>
      <x:c r="E49" s="2"/>
      <x:c r="F49" s="2"/>
      <x:c r="G49" s="2"/>
    </x:row>
    <x:row r="50">
      <x:c r="A50" s="2"/>
      <x:c r="B50" s="2"/>
      <x:c r="C50" s="2"/>
      <x:c r="D50" s="2"/>
      <x:c r="E50" s="2"/>
      <x:c r="F50" s="2"/>
      <x:c r="G50" s="2"/>
    </x:row>
    <x:row r="51">
      <x:c r="A51" s="2"/>
      <x:c r="B51" s="2"/>
      <x:c r="C51" s="2"/>
      <x:c r="D51" s="2"/>
      <x:c r="E51" s="2"/>
      <x:c r="F51" s="2"/>
      <x:c r="G51" s="2"/>
    </x:row>
    <x:row r="52">
      <x:c r="A52" s="2"/>
      <x:c r="B52" s="2"/>
      <x:c r="C52" s="2"/>
      <x:c r="D52" s="2"/>
      <x:c r="E52" s="2"/>
      <x:c r="F52" s="2"/>
      <x:c r="G52" s="2"/>
    </x:row>
    <x:row r="53">
      <x:c r="A53" s="2"/>
      <x:c r="B53" s="2"/>
      <x:c r="C53" s="2"/>
      <x:c r="D53" s="2"/>
      <x:c r="E53" s="2"/>
      <x:c r="F53" s="2"/>
      <x:c r="G53" s="2"/>
    </x:row>
    <x:row r="54">
      <x:c r="A54" s="2"/>
      <x:c r="B54" s="2"/>
      <x:c r="C54" s="2"/>
      <x:c r="D54" s="2"/>
      <x:c r="E54" s="2"/>
      <x:c r="F54" s="2"/>
      <x:c r="G54" s="2"/>
    </x:row>
    <x:row r="55">
      <x:c r="A55" s="2"/>
      <x:c r="B55" s="2"/>
      <x:c r="C55" s="2"/>
      <x:c r="D55" s="2"/>
      <x:c r="E55" s="2"/>
      <x:c r="F55" s="2"/>
      <x:c r="G55" s="2"/>
    </x:row>
    <x:row r="56">
      <x:c r="A56" s="2"/>
      <x:c r="B56" s="2"/>
      <x:c r="C56" s="2"/>
      <x:c r="D56" s="2"/>
      <x:c r="E56" s="2"/>
      <x:c r="F56" s="2"/>
      <x:c r="G56" s="2"/>
    </x:row>
    <x:row r="57">
      <x:c r="A57" s="2"/>
      <x:c r="B57" s="2"/>
      <x:c r="C57" s="2"/>
      <x:c r="D57" s="2"/>
      <x:c r="E57" s="2"/>
      <x:c r="F57" s="2"/>
      <x:c r="G57" s="2"/>
    </x:row>
    <x:row r="58">
      <x:c r="A58" s="2"/>
      <x:c r="B58" s="2"/>
      <x:c r="C58" s="2"/>
      <x:c r="D58" s="2"/>
      <x:c r="E58" s="2"/>
      <x:c r="F58" s="2"/>
      <x:c r="G58" s="2"/>
    </x:row>
    <x:row r="59">
      <x:c r="A59" s="2"/>
      <x:c r="B59" s="2"/>
      <x:c r="C59" s="2"/>
      <x:c r="D59" s="2"/>
      <x:c r="E59" s="2"/>
      <x:c r="F59" s="2"/>
      <x:c r="G59" s="2"/>
    </x:row>
    <x:row r="60">
      <x:c r="A60" s="2"/>
      <x:c r="B60" s="2"/>
      <x:c r="C60" s="2"/>
      <x:c r="D60" s="2"/>
      <x:c r="E60" s="2"/>
      <x:c r="F60" s="2"/>
      <x:c r="G60" s="2"/>
    </x:row>
    <x:row r="61">
      <x:c r="A61" s="2"/>
      <x:c r="B61" s="2"/>
      <x:c r="C61" s="2"/>
      <x:c r="D61" s="2"/>
      <x:c r="E61" s="2"/>
      <x:c r="F61" s="2"/>
      <x:c r="G61" s="2"/>
    </x:row>
    <x:row r="62">
      <x:c r="A62" s="2"/>
      <x:c r="B62" s="2"/>
      <x:c r="C62" s="2"/>
      <x:c r="D62" s="2"/>
      <x:c r="E62" s="2"/>
      <x:c r="F62" s="2"/>
      <x:c r="G62" s="2"/>
    </x:row>
    <x:row r="63">
      <x:c r="A63" s="2"/>
      <x:c r="B63" s="2"/>
      <x:c r="C63" s="2"/>
      <x:c r="D63" s="2"/>
      <x:c r="E63" s="2"/>
      <x:c r="F63" s="2"/>
      <x:c r="G63" s="2"/>
    </x:row>
    <x:row r="64">
      <x:c r="A64" s="2"/>
      <x:c r="B64" s="2"/>
      <x:c r="C64" s="2"/>
      <x:c r="D64" s="2"/>
      <x:c r="E64" s="2"/>
      <x:c r="F64" s="2"/>
      <x:c r="G64" s="2"/>
    </x:row>
    <x:row r="65">
      <x:c r="A65" s="2"/>
      <x:c r="B65" s="2"/>
      <x:c r="C65" s="2"/>
      <x:c r="D65" s="2"/>
      <x:c r="E65" s="2"/>
      <x:c r="F65" s="2"/>
      <x:c r="G65" s="2"/>
    </x:row>
    <x:row r="66">
      <x:c r="A66" s="2"/>
      <x:c r="B66" s="2"/>
      <x:c r="C66" s="2"/>
      <x:c r="D66" s="2"/>
      <x:c r="E66" s="2"/>
      <x:c r="F66" s="2"/>
      <x:c r="G66" s="2"/>
    </x:row>
    <x:row r="67">
      <x:c r="A67" s="2"/>
      <x:c r="B67" s="2"/>
      <x:c r="C67" s="2"/>
      <x:c r="D67" s="2"/>
      <x:c r="E67" s="2"/>
      <x:c r="F67" s="2"/>
      <x:c r="G67" s="2"/>
    </x:row>
    <x:row r="68">
      <x:c r="A68" s="2"/>
      <x:c r="B68" s="2"/>
      <x:c r="C68" s="2"/>
      <x:c r="D68" s="2"/>
      <x:c r="E68" s="2"/>
      <x:c r="F68" s="2"/>
      <x:c r="G68" s="2"/>
    </x:row>
    <x:row r="69">
      <x:c r="A69" s="2"/>
      <x:c r="B69" s="2"/>
      <x:c r="C69" s="2"/>
      <x:c r="D69" s="2"/>
      <x:c r="E69" s="2"/>
      <x:c r="F69" s="2"/>
      <x:c r="G69" s="2"/>
    </x:row>
    <x:row r="70">
      <x:c r="A70" s="2"/>
      <x:c r="B70" s="2"/>
      <x:c r="C70" s="2"/>
      <x:c r="D70" s="2"/>
      <x:c r="E70" s="2"/>
      <x:c r="F70" s="2"/>
      <x:c r="G70" s="2"/>
    </x:row>
    <x:row r="71">
      <x:c r="A71" s="2"/>
      <x:c r="B71" s="2"/>
      <x:c r="C71" s="2"/>
      <x:c r="D71" s="2"/>
      <x:c r="E71" s="2"/>
      <x:c r="F71" s="2"/>
      <x:c r="G71" s="2"/>
    </x:row>
    <x:row r="72">
      <x:c r="A72" s="2"/>
      <x:c r="B72" s="2"/>
      <x:c r="C72" s="2"/>
      <x:c r="D72" s="2"/>
      <x:c r="E72" s="2"/>
      <x:c r="F72" s="2"/>
      <x:c r="G72" s="2"/>
    </x:row>
    <x:row r="73">
      <x:c r="A73" s="2"/>
      <x:c r="B73" s="2"/>
      <x:c r="C73" s="2"/>
      <x:c r="D73" s="2"/>
      <x:c r="E73" s="2"/>
      <x:c r="F73" s="2"/>
      <x:c r="G73" s="2"/>
    </x:row>
    <x:row r="74">
      <x:c r="A74" s="2"/>
      <x:c r="B74" s="2"/>
      <x:c r="C74" s="2"/>
      <x:c r="D74" s="2"/>
      <x:c r="E74" s="2"/>
      <x:c r="F74" s="2"/>
      <x:c r="G74" s="2"/>
    </x:row>
    <x:row r="75">
      <x:c r="A75" s="2"/>
      <x:c r="B75" s="2"/>
      <x:c r="C75" s="2"/>
      <x:c r="D75" s="2"/>
      <x:c r="E75" s="2"/>
      <x:c r="F75" s="2"/>
      <x:c r="G75" s="2"/>
    </x:row>
    <x:row r="76">
      <x:c r="A76" s="2"/>
      <x:c r="B76" s="2"/>
      <x:c r="C76" s="2"/>
      <x:c r="D76" s="2"/>
      <x:c r="E76" s="2"/>
      <x:c r="F76" s="2"/>
      <x:c r="G76" s="2"/>
    </x:row>
    <x:row r="77">
      <x:c r="A77" s="2"/>
      <x:c r="B77" s="2"/>
      <x:c r="C77" s="2"/>
      <x:c r="D77" s="2"/>
      <x:c r="E77" s="2"/>
      <x:c r="F77" s="2"/>
      <x:c r="G77" s="2"/>
    </x:row>
    <x:row r="78">
      <x:c r="A78" s="2"/>
      <x:c r="B78" s="2"/>
      <x:c r="C78" s="2"/>
      <x:c r="D78" s="2"/>
      <x:c r="E78" s="2"/>
      <x:c r="F78" s="2"/>
      <x:c r="G78" s="2"/>
    </x:row>
    <x:row r="79">
      <x:c r="A79" s="2"/>
      <x:c r="B79" s="2"/>
      <x:c r="C79" s="2"/>
      <x:c r="D79" s="2"/>
      <x:c r="E79" s="2"/>
      <x:c r="F79" s="2"/>
      <x:c r="G79" s="2"/>
    </x:row>
    <x:row r="80">
      <x:c r="A80" s="2"/>
      <x:c r="B80" s="2"/>
      <x:c r="C80" s="2"/>
      <x:c r="D80" s="2"/>
      <x:c r="E80" s="2"/>
      <x:c r="F80" s="2"/>
      <x:c r="G80" s="2"/>
    </x:row>
    <x:row r="81">
      <x:c r="A81" s="2"/>
      <x:c r="B81" s="2"/>
      <x:c r="C81" s="2"/>
      <x:c r="D81" s="2"/>
      <x:c r="E81" s="2"/>
      <x:c r="F81" s="2"/>
      <x:c r="G81" s="2"/>
    </x:row>
    <x:row r="82">
      <x:c r="A82" s="2"/>
      <x:c r="B82" s="2"/>
      <x:c r="C82" s="2"/>
      <x:c r="D82" s="2"/>
      <x:c r="E82" s="2"/>
      <x:c r="F82" s="2"/>
      <x:c r="G82" s="2"/>
    </x:row>
    <x:row r="83">
      <x:c r="A83" s="2"/>
      <x:c r="B83" s="2"/>
      <x:c r="C83" s="2"/>
      <x:c r="D83" s="2"/>
      <x:c r="E83" s="2"/>
      <x:c r="F83" s="2"/>
      <x:c r="G83" s="2"/>
    </x:row>
    <x:row r="84">
      <x:c r="A84" s="2"/>
      <x:c r="B84" s="2"/>
      <x:c r="C84" s="2"/>
      <x:c r="D84" s="2"/>
      <x:c r="E84" s="2"/>
      <x:c r="F84" s="2"/>
      <x:c r="G84" s="2"/>
    </x:row>
    <x:row r="85">
      <x:c r="A85" s="2"/>
      <x:c r="B85" s="2"/>
      <x:c r="C85" s="2"/>
      <x:c r="D85" s="2"/>
      <x:c r="E85" s="2"/>
      <x:c r="F85" s="2"/>
      <x:c r="G85" s="2"/>
    </x:row>
    <x:row r="86">
      <x:c r="A86" s="2"/>
      <x:c r="B86" s="2"/>
      <x:c r="C86" s="2"/>
      <x:c r="D86" s="2"/>
      <x:c r="E86" s="2"/>
      <x:c r="F86" s="2"/>
      <x:c r="G86" s="2"/>
    </x:row>
    <x:row r="87">
      <x:c r="A87" s="2"/>
      <x:c r="B87" s="2"/>
      <x:c r="C87" s="2"/>
      <x:c r="D87" s="2"/>
      <x:c r="E87" s="2"/>
      <x:c r="F87" s="2"/>
      <x:c r="G87" s="2"/>
    </x:row>
    <x:row r="88">
      <x:c r="A88" s="2"/>
      <x:c r="B88" s="2"/>
      <x:c r="C88" s="2"/>
      <x:c r="D88" s="2"/>
      <x:c r="E88" s="2"/>
      <x:c r="F88" s="2"/>
      <x:c r="G88" s="2"/>
    </x:row>
    <x:row r="89">
      <x:c r="A89" s="2"/>
      <x:c r="B89" s="2"/>
      <x:c r="C89" s="2"/>
      <x:c r="D89" s="2"/>
      <x:c r="E89" s="2"/>
      <x:c r="F89" s="2"/>
      <x:c r="G89" s="2"/>
    </x:row>
    <x:row r="90">
      <x:c r="A90" s="2"/>
      <x:c r="B90" s="2"/>
      <x:c r="C90" s="2"/>
      <x:c r="D90" s="2"/>
      <x:c r="E90" s="2"/>
      <x:c r="F90" s="2"/>
      <x:c r="G90" s="2"/>
    </x:row>
    <x:row r="91">
      <x:c r="A91" s="2"/>
      <x:c r="B91" s="2"/>
      <x:c r="C91" s="2"/>
      <x:c r="D91" s="2"/>
      <x:c r="E91" s="2"/>
      <x:c r="F91" s="2"/>
      <x:c r="G91" s="2"/>
    </x:row>
    <x:row r="92">
      <x:c r="A92" s="2"/>
      <x:c r="B92" s="2"/>
      <x:c r="C92" s="2"/>
      <x:c r="D92" s="2"/>
      <x:c r="E92" s="2"/>
      <x:c r="F92" s="2"/>
      <x:c r="G92" s="2"/>
    </x:row>
    <x:row r="93">
      <x:c r="A93" s="2"/>
      <x:c r="B93" s="2"/>
      <x:c r="C93" s="2"/>
      <x:c r="D93" s="2"/>
      <x:c r="E93" s="2"/>
      <x:c r="F93" s="2"/>
      <x:c r="G93" s="2"/>
    </x:row>
    <x:row r="94">
      <x:c r="A94" s="2"/>
      <x:c r="B94" s="2"/>
      <x:c r="C94" s="2"/>
      <x:c r="D94" s="2"/>
      <x:c r="E94" s="2"/>
      <x:c r="F94" s="2"/>
      <x:c r="G94" s="2"/>
    </x:row>
    <x:row r="95">
      <x:c r="A95" s="2"/>
      <x:c r="B95" s="2"/>
      <x:c r="C95" s="2"/>
      <x:c r="D95" s="2"/>
      <x:c r="E95" s="2"/>
      <x:c r="F95" s="2"/>
      <x:c r="G95" s="2"/>
    </x:row>
    <x:row r="96">
      <x:c r="A96" s="2"/>
      <x:c r="B96" s="2"/>
      <x:c r="C96" s="2"/>
      <x:c r="D96" s="2"/>
      <x:c r="E96" s="2"/>
      <x:c r="F96" s="2"/>
      <x:c r="G96" s="2"/>
    </x:row>
    <x:row r="97">
      <x:c r="A97" s="2"/>
      <x:c r="B97" s="2"/>
      <x:c r="C97" s="2"/>
      <x:c r="D97" s="2"/>
      <x:c r="E97" s="2"/>
      <x:c r="F97" s="2"/>
      <x:c r="G97" s="2"/>
    </x:row>
    <x:row r="98">
      <x:c r="A98" s="2"/>
      <x:c r="B98" s="2"/>
      <x:c r="C98" s="2"/>
      <x:c r="D98" s="2"/>
      <x:c r="E98" s="2"/>
      <x:c r="F98" s="2"/>
      <x:c r="G98" s="2"/>
    </x:row>
    <x:row r="99">
      <x:c r="A99" s="2"/>
      <x:c r="B99" s="2"/>
      <x:c r="C99" s="2"/>
      <x:c r="D99" s="2"/>
      <x:c r="E99" s="2"/>
      <x:c r="F99" s="2"/>
      <x:c r="G99" s="2"/>
    </x:row>
    <x:row r="100">
      <x:c r="A100" s="2"/>
      <x:c r="B100" s="2"/>
      <x:c r="C100" s="2"/>
      <x:c r="D100" s="2"/>
      <x:c r="E100" s="2"/>
      <x:c r="F100" s="2"/>
      <x:c r="G100" s="2"/>
    </x:row>
    <x:row r="101">
      <x:c r="A101" s="2"/>
      <x:c r="B101" s="2"/>
      <x:c r="C101" s="2"/>
      <x:c r="D101" s="2"/>
      <x:c r="E101" s="2"/>
      <x:c r="F101" s="2"/>
      <x:c r="G101" s="2"/>
    </x:row>
    <x:row r="102">
      <x:c r="A102" s="2"/>
      <x:c r="B102" s="2"/>
      <x:c r="C102" s="2"/>
      <x:c r="D102" s="2"/>
      <x:c r="E102" s="2"/>
      <x:c r="F102" s="2"/>
      <x:c r="G102" s="2"/>
    </x:row>
    <x:row r="103">
      <x:c r="A103" s="2"/>
      <x:c r="B103" s="2"/>
      <x:c r="C103" s="2"/>
      <x:c r="D103" s="2"/>
      <x:c r="E103" s="2"/>
      <x:c r="F103" s="2"/>
      <x:c r="G103" s="2"/>
    </x:row>
    <x:row r="104">
      <x:c r="A104" s="2"/>
      <x:c r="B104" s="2"/>
      <x:c r="C104" s="2"/>
      <x:c r="D104" s="2"/>
      <x:c r="E104" s="2"/>
      <x:c r="F104" s="2"/>
      <x:c r="G104" s="2"/>
    </x:row>
    <x:row r="105">
      <x:c r="A105" s="2"/>
      <x:c r="B105" s="2"/>
      <x:c r="C105" s="2"/>
      <x:c r="D105" s="2"/>
      <x:c r="E105" s="2"/>
      <x:c r="F105" s="2"/>
      <x:c r="G105" s="2"/>
    </x:row>
    <x:row r="106">
      <x:c r="A106" s="2"/>
      <x:c r="B106" s="2"/>
      <x:c r="C106" s="2"/>
      <x:c r="D106" s="2"/>
      <x:c r="E106" s="2"/>
      <x:c r="F106" s="2"/>
      <x:c r="G106" s="2"/>
    </x:row>
    <x:row r="107">
      <x:c r="A107" s="2"/>
      <x:c r="B107" s="2"/>
      <x:c r="C107" s="2"/>
      <x:c r="D107" s="2"/>
      <x:c r="E107" s="2"/>
      <x:c r="F107" s="2"/>
      <x:c r="G107" s="2"/>
    </x:row>
    <x:row r="108">
      <x:c r="A108" s="2"/>
      <x:c r="B108" s="2"/>
      <x:c r="C108" s="2"/>
      <x:c r="D108" s="2"/>
      <x:c r="E108" s="2"/>
      <x:c r="F108" s="2"/>
      <x:c r="G108" s="2"/>
    </x:row>
    <x:row r="109">
      <x:c r="A109" s="2"/>
      <x:c r="B109" s="2"/>
      <x:c r="C109" s="2"/>
      <x:c r="D109" s="2"/>
      <x:c r="E109" s="2"/>
      <x:c r="F109" s="2"/>
      <x:c r="G109" s="2"/>
    </x:row>
    <x:row r="110">
      <x:c r="A110" s="2"/>
      <x:c r="B110" s="2"/>
      <x:c r="C110" s="2"/>
      <x:c r="D110" s="2"/>
      <x:c r="E110" s="2"/>
      <x:c r="F110" s="2"/>
      <x:c r="G110" s="2"/>
    </x:row>
    <x:row r="111">
      <x:c r="A111" s="2"/>
      <x:c r="B111" s="2"/>
      <x:c r="C111" s="2"/>
      <x:c r="D111" s="2"/>
      <x:c r="E111" s="2"/>
      <x:c r="F111" s="2"/>
      <x:c r="G111" s="2"/>
    </x:row>
    <x:row r="112">
      <x:c r="A112" s="2"/>
      <x:c r="B112" s="2"/>
      <x:c r="C112" s="2"/>
      <x:c r="D112" s="2"/>
      <x:c r="E112" s="2"/>
      <x:c r="F112" s="2"/>
      <x:c r="G112" s="2"/>
    </x:row>
    <x:row r="113">
      <x:c r="A113" s="2"/>
      <x:c r="B113" s="2"/>
      <x:c r="C113" s="2"/>
      <x:c r="D113" s="2"/>
      <x:c r="E113" s="2"/>
      <x:c r="F113" s="2"/>
      <x:c r="G113" s="2"/>
    </x:row>
    <x:row r="114">
      <x:c r="A114" s="2"/>
      <x:c r="B114" s="2"/>
      <x:c r="C114" s="2"/>
      <x:c r="D114" s="2"/>
      <x:c r="E114" s="2"/>
      <x:c r="F114" s="2"/>
      <x:c r="G114" s="2"/>
    </x:row>
    <x:row r="115">
      <x:c r="A115" s="2"/>
      <x:c r="B115" s="2"/>
      <x:c r="C115" s="2"/>
      <x:c r="D115" s="2"/>
      <x:c r="E115" s="2"/>
      <x:c r="F115" s="2"/>
      <x:c r="G115" s="2"/>
    </x:row>
    <x:row r="116">
      <x:c r="A116" s="2"/>
      <x:c r="B116" s="2"/>
      <x:c r="C116" s="2"/>
      <x:c r="D116" s="2"/>
      <x:c r="E116" s="2"/>
      <x:c r="F116" s="2"/>
      <x:c r="G116" s="2"/>
    </x:row>
    <x:row r="117">
      <x:c r="A117" s="2"/>
      <x:c r="B117" s="2"/>
      <x:c r="C117" s="2"/>
      <x:c r="D117" s="2"/>
      <x:c r="E117" s="2"/>
      <x:c r="F117" s="2"/>
      <x:c r="G117" s="2"/>
    </x:row>
    <x:row r="118">
      <x:c r="A118" s="2"/>
      <x:c r="B118" s="2"/>
      <x:c r="C118" s="2"/>
      <x:c r="D118" s="2"/>
      <x:c r="E118" s="2"/>
      <x:c r="F118" s="2"/>
      <x:c r="G118" s="2"/>
    </x:row>
    <x:row r="119">
      <x:c r="A119" s="2"/>
      <x:c r="B119" s="2"/>
      <x:c r="C119" s="2"/>
      <x:c r="D119" s="2"/>
      <x:c r="E119" s="2"/>
      <x:c r="F119" s="2"/>
      <x:c r="G119" s="2"/>
    </x:row>
    <x:row r="120">
      <x:c r="A120" s="2"/>
      <x:c r="B120" s="2"/>
      <x:c r="C120" s="2"/>
      <x:c r="D120" s="2"/>
      <x:c r="E120" s="2"/>
      <x:c r="F120" s="2"/>
      <x:c r="G120" s="2"/>
    </x:row>
    <x:row r="121">
      <x:c r="A121" s="2"/>
      <x:c r="B121" s="2"/>
      <x:c r="C121" s="2"/>
      <x:c r="D121" s="2"/>
      <x:c r="E121" s="2"/>
      <x:c r="F121" s="2"/>
      <x:c r="G121" s="2"/>
    </x:row>
    <x:row r="122">
      <x:c r="A122" s="2"/>
      <x:c r="B122" s="2"/>
      <x:c r="C122" s="2"/>
      <x:c r="D122" s="2"/>
      <x:c r="E122" s="2"/>
      <x:c r="F122" s="2"/>
      <x:c r="G122" s="2"/>
    </x:row>
    <x:row r="123">
      <x:c r="A123" s="2"/>
      <x:c r="B123" s="2"/>
      <x:c r="C123" s="2"/>
      <x:c r="D123" s="2"/>
      <x:c r="E123" s="2"/>
      <x:c r="F123" s="2"/>
      <x:c r="G123" s="2"/>
    </x:row>
    <x:row r="124">
      <x:c r="A124" s="2"/>
      <x:c r="B124" s="2"/>
      <x:c r="C124" s="2"/>
      <x:c r="D124" s="2"/>
      <x:c r="E124" s="2"/>
      <x:c r="F124" s="2"/>
      <x:c r="G124" s="2"/>
    </x:row>
    <x:row r="125">
      <x:c r="A125" s="2"/>
      <x:c r="B125" s="2"/>
      <x:c r="C125" s="2"/>
      <x:c r="D125" s="2"/>
      <x:c r="E125" s="2"/>
      <x:c r="F125" s="2"/>
      <x:c r="G125" s="2"/>
    </x:row>
    <x:row r="126">
      <x:c r="A126" s="2"/>
      <x:c r="B126" s="2"/>
      <x:c r="C126" s="2"/>
      <x:c r="D126" s="2"/>
      <x:c r="E126" s="2"/>
      <x:c r="F126" s="2"/>
      <x:c r="G126" s="2"/>
    </x:row>
    <x:row r="127">
      <x:c r="A127" s="2"/>
      <x:c r="B127" s="2"/>
      <x:c r="C127" s="2"/>
      <x:c r="D127" s="2"/>
      <x:c r="E127" s="2"/>
      <x:c r="F127" s="2"/>
      <x:c r="G127" s="2"/>
    </x:row>
    <x:row r="128">
      <x:c r="A128" s="2"/>
      <x:c r="B128" s="2"/>
      <x:c r="C128" s="2"/>
      <x:c r="D128" s="2"/>
      <x:c r="E128" s="2"/>
      <x:c r="F128" s="2"/>
      <x:c r="G128" s="2"/>
    </x:row>
    <x:row r="129">
      <x:c r="A129" s="2"/>
      <x:c r="B129" s="2"/>
      <x:c r="C129" s="2"/>
      <x:c r="D129" s="2"/>
      <x:c r="E129" s="2"/>
      <x:c r="F129" s="2"/>
      <x:c r="G129" s="2"/>
    </x:row>
    <x:row r="130">
      <x:c r="A130" s="2"/>
      <x:c r="B130" s="2"/>
      <x:c r="C130" s="2"/>
      <x:c r="D130" s="2"/>
      <x:c r="E130" s="2"/>
      <x:c r="F130" s="2"/>
      <x:c r="G130" s="2"/>
    </x:row>
    <x:row r="131">
      <x:c r="A131" s="2"/>
      <x:c r="B131" s="2"/>
      <x:c r="C131" s="2"/>
      <x:c r="D131" s="2"/>
      <x:c r="E131" s="2"/>
      <x:c r="F131" s="2"/>
      <x:c r="G131" s="2"/>
    </x:row>
    <x:row r="132">
      <x:c r="A132" s="2"/>
      <x:c r="B132" s="2"/>
      <x:c r="C132" s="2"/>
      <x:c r="D132" s="2"/>
      <x:c r="E132" s="2"/>
      <x:c r="F132" s="2"/>
      <x:c r="G132" s="2"/>
    </x:row>
    <x:row r="133">
      <x:c r="A133" s="2"/>
      <x:c r="B133" s="2"/>
      <x:c r="C133" s="2"/>
      <x:c r="D133" s="2"/>
      <x:c r="E133" s="2"/>
      <x:c r="F133" s="2"/>
      <x:c r="G133" s="2"/>
    </x:row>
    <x:row r="134">
      <x:c r="A134" s="2"/>
      <x:c r="B134" s="2"/>
      <x:c r="C134" s="2"/>
      <x:c r="D134" s="2"/>
      <x:c r="E134" s="2"/>
      <x:c r="F134" s="2"/>
      <x:c r="G134" s="2"/>
    </x:row>
    <x:row r="135">
      <x:c r="A135" s="2"/>
      <x:c r="B135" s="2"/>
      <x:c r="C135" s="2"/>
      <x:c r="D135" s="2"/>
      <x:c r="E135" s="2"/>
      <x:c r="F135" s="2"/>
      <x:c r="G135" s="2"/>
    </x:row>
    <x:row r="136">
      <x:c r="A136" s="2"/>
      <x:c r="B136" s="2"/>
      <x:c r="C136" s="2"/>
      <x:c r="D136" s="2"/>
      <x:c r="E136" s="2"/>
      <x:c r="F136" s="2"/>
      <x:c r="G136" s="2"/>
    </x:row>
    <x:row r="137">
      <x:c r="A137" s="2"/>
      <x:c r="B137" s="2"/>
      <x:c r="C137" s="2"/>
      <x:c r="D137" s="2"/>
      <x:c r="E137" s="2"/>
      <x:c r="F137" s="2"/>
      <x:c r="G137" s="2"/>
    </x:row>
    <x:row r="138">
      <x:c r="A138" s="2"/>
      <x:c r="B138" s="2"/>
      <x:c r="C138" s="2"/>
      <x:c r="D138" s="2"/>
      <x:c r="E138" s="2"/>
      <x:c r="F138" s="2"/>
      <x:c r="G138" s="2"/>
    </x:row>
    <x:row r="139">
      <x:c r="A139" s="2"/>
      <x:c r="B139" s="2"/>
      <x:c r="C139" s="2"/>
      <x:c r="D139" s="2"/>
      <x:c r="E139" s="2"/>
      <x:c r="F139" s="2"/>
      <x:c r="G139" s="2"/>
    </x:row>
    <x:row r="140">
      <x:c r="A140" s="2"/>
      <x:c r="B140" s="2"/>
      <x:c r="C140" s="2"/>
      <x:c r="D140" s="2"/>
      <x:c r="E140" s="2"/>
      <x:c r="F140" s="2"/>
      <x:c r="G140" s="2"/>
    </x:row>
    <x:row r="141">
      <x:c r="A141" s="2"/>
      <x:c r="B141" s="2"/>
      <x:c r="C141" s="2"/>
      <x:c r="D141" s="2"/>
      <x:c r="E141" s="2"/>
      <x:c r="F141" s="2"/>
      <x:c r="G141" s="2"/>
    </x:row>
    <x:row r="142">
      <x:c r="A142" s="2"/>
      <x:c r="B142" s="2"/>
      <x:c r="C142" s="2"/>
      <x:c r="D142" s="2"/>
      <x:c r="E142" s="2"/>
      <x:c r="F142" s="2"/>
      <x:c r="G142" s="2"/>
    </x:row>
    <x:row r="143">
      <x:c r="A143" s="2"/>
      <x:c r="B143" s="2"/>
      <x:c r="C143" s="2"/>
      <x:c r="D143" s="2"/>
      <x:c r="E143" s="2"/>
      <x:c r="F143" s="2"/>
      <x:c r="G143" s="2"/>
    </x:row>
    <x:row r="144">
      <x:c r="A144" s="2"/>
      <x:c r="B144" s="2"/>
      <x:c r="C144" s="2"/>
      <x:c r="D144" s="2"/>
      <x:c r="E144" s="2"/>
      <x:c r="F144" s="2"/>
      <x:c r="G144" s="2"/>
    </x:row>
    <x:row r="145">
      <x:c r="A145" s="2"/>
      <x:c r="B145" s="2"/>
      <x:c r="C145" s="2"/>
      <x:c r="D145" s="2"/>
      <x:c r="E145" s="2"/>
      <x:c r="F145" s="2"/>
      <x:c r="G145" s="2"/>
    </x:row>
    <x:row r="146">
      <x:c r="A146" s="2"/>
      <x:c r="B146" s="2"/>
      <x:c r="C146" s="2"/>
      <x:c r="D146" s="2"/>
      <x:c r="E146" s="2"/>
      <x:c r="F146" s="2"/>
      <x:c r="G146" s="2"/>
    </x:row>
    <x:row r="147">
      <x:c r="A147" s="2"/>
      <x:c r="B147" s="2"/>
      <x:c r="C147" s="2"/>
      <x:c r="D147" s="2"/>
      <x:c r="E147" s="2"/>
      <x:c r="F147" s="2"/>
      <x:c r="G147" s="2"/>
    </x:row>
    <x:row r="148">
      <x:c r="A148" s="2"/>
      <x:c r="B148" s="2"/>
      <x:c r="C148" s="2"/>
      <x:c r="D148" s="2"/>
      <x:c r="E148" s="2"/>
      <x:c r="F148" s="2"/>
      <x:c r="G148" s="2"/>
    </x:row>
    <x:row r="149">
      <x:c r="A149" s="2"/>
      <x:c r="B149" s="2"/>
      <x:c r="C149" s="2"/>
      <x:c r="D149" s="2"/>
      <x:c r="E149" s="2"/>
      <x:c r="F149" s="2"/>
      <x:c r="G149" s="2"/>
    </x:row>
    <x:row r="150">
      <x:c r="A150" s="2"/>
      <x:c r="B150" s="2"/>
      <x:c r="C150" s="2"/>
      <x:c r="D150" s="2"/>
      <x:c r="E150" s="2"/>
      <x:c r="F150" s="2"/>
      <x:c r="G15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0496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3" hidden="0" customWidth="1"/>
    <x:col min="5" max="5" width="13" hidden="0" customWidth="1"/>
    <x:col min="6" max="6" width="13" hidden="0" customWidth="1"/>
    <x:col min="7" max="7" width="61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모듈과 증폭 제안</x:v>
      </x:c>
      <x:c r="B2" s="2"/>
      <x:c r="C2" s="2"/>
      <x:c r="D2" s="2"/>
      <x:c r="E2" s="2"/>
      <x:c r="F2" s="2"/>
      <x:c r="G2" s="2"/>
    </x:row>
    <x:row r="3">
      <x:c r="A3" s="4" t="str">
        <x:v>수치 출처: 설계 대화와 이번 제안. 모듈 2칸, 칸당 1개, 중복 허용. I 극초반 / II Create / III 이후 공학.</x:v>
      </x:c>
      <x:c r="B3" s="2"/>
      <x:c r="C3" s="2"/>
      <x:c r="D3" s="2"/>
      <x:c r="E3" s="2"/>
      <x:c r="F3" s="2"/>
      <x:c r="G3" s="2"/>
    </x:row>
    <x:row r="4">
      <x:c r="A4" s="5"/>
      <x:c r="B4" s="5"/>
      <x:c r="C4" s="5"/>
      <x:c r="D4" s="5"/>
      <x:c r="E4" s="5"/>
      <x:c r="F4" s="5"/>
      <x:c r="G4" s="5"/>
    </x:row>
    <x:row r="5" ht="32" customHeight="1">
      <x:c r="A5" s="9" t="str">
        <x:v>모듈</x:v>
      </x:c>
      <x:c r="B5" s="9" t="str">
        <x:v>대상</x:v>
      </x:c>
      <x:c r="C5" s="9" t="str">
        <x:v>단위</x:v>
      </x:c>
      <x:c r="D5" s="9" t="str">
        <x:v>I</x:v>
      </x:c>
      <x:c r="E5" s="9" t="str">
        <x:v>II</x:v>
      </x:c>
      <x:c r="F5" s="9" t="str">
        <x:v>III</x:v>
      </x:c>
      <x:c r="G5" s="9" t="str">
        <x:v>규칙</x:v>
      </x:c>
    </x:row>
    <x:row r="6" ht="42" customHeight="1">
      <x:c r="A6" s="10" t="str">
        <x:v>공격력</x:v>
      </x:c>
      <x:c r="B6" s="10" t="str">
        <x:v>공통</x:v>
      </x:c>
      <x:c r="C6" s="10" t="str">
        <x:v>비율</x:v>
      </x:c>
      <x:c r="D6" s="15" t="n">
        <x:v>0.15</x:v>
      </x:c>
      <x:c r="E6" s="15" t="n">
        <x:v>0.3</x:v>
      </x:c>
      <x:c r="F6" s="15" t="n">
        <x:v>0.45</x:v>
      </x:c>
      <x:c r="G6" s="10" t="str">
        <x:v>직접 피해·화상·집속 파편 포함.</x:v>
      </x:c>
    </x:row>
    <x:row r="7" ht="42" customHeight="1">
      <x:c r="A7" s="11" t="str">
        <x:v>공격속도</x:v>
      </x:c>
      <x:c r="B7" s="11" t="str">
        <x:v>공통</x:v>
      </x:c>
      <x:c r="C7" s="11" t="str">
        <x:v>비율</x:v>
      </x:c>
      <x:c r="D7" s="15" t="n">
        <x:v>0.1</x:v>
      </x:c>
      <x:c r="E7" s="15" t="n">
        <x:v>0.2</x:v>
      </x:c>
      <x:c r="F7" s="15" t="n">
        <x:v>0.3</x:v>
      </x:c>
      <x:c r="G7" s="11" t="str">
        <x:v>화염은 휴지 시간만 단축.</x:v>
      </x:c>
    </x:row>
    <x:row r="8" ht="42" customHeight="1">
      <x:c r="A8" s="10" t="str">
        <x:v>관통</x:v>
      </x:c>
      <x:c r="B8" s="10" t="str">
        <x:v>화살</x:v>
      </x:c>
      <x:c r="C8" s="10" t="str">
        <x:v>추가 적 수</x:v>
      </x:c>
      <x:c r="D8" s="14" t="n">
        <x:v>1</x:v>
      </x:c>
      <x:c r="E8" s="14" t="n">
        <x:v>2</x:v>
      </x:c>
      <x:c r="F8" s="14" t="n">
        <x:v>3</x:v>
      </x:c>
      <x:c r="G8" s="10" t="str">
        <x:v>다음 관통 피해는 직전의 80%. 특수 효과는 유지.</x:v>
      </x:c>
    </x:row>
    <x:row r="9" ht="42" customHeight="1">
      <x:c r="A9" s="11" t="str">
        <x:v>다중발사</x:v>
      </x:c>
      <x:c r="B9" s="11" t="str">
        <x:v>화살</x:v>
      </x:c>
      <x:c r="C9" s="11" t="str">
        <x:v>추가 표적</x:v>
      </x:c>
      <x:c r="D9" s="14" t="n">
        <x:v>1</x:v>
      </x:c>
      <x:c r="E9" s="14" t="n">
        <x:v>2</x:v>
      </x:c>
      <x:c r="F9" s="14" t="n">
        <x:v>3</x:v>
      </x:c>
      <x:c r="G9" s="11" t="str">
        <x:v>서로 다른 적에게 한 발씩. 탄약 수만큼 발사 제한.</x:v>
      </x:c>
    </x:row>
    <x:row r="10" ht="42" customHeight="1">
      <x:c r="A10" s="10" t="str">
        <x:v>도탄</x:v>
      </x:c>
      <x:c r="B10" s="10" t="str">
        <x:v>화살</x:v>
      </x:c>
      <x:c r="C10" s="10" t="str">
        <x:v>추가 횟수</x:v>
      </x:c>
      <x:c r="D10" s="14" t="n">
        <x:v>1</x:v>
      </x:c>
      <x:c r="E10" s="14" t="n">
        <x:v>2</x:v>
      </x:c>
      <x:c r="F10" s="14" t="n">
        <x:v>3</x:v>
      </x:c>
      <x:c r="G10" s="10" t="str">
        <x:v>관통의 마지막 예정 적중 성공 시 시작. 빗나가면 발생 안 함.</x:v>
      </x:c>
    </x:row>
    <x:row r="11" ht="42" customHeight="1">
      <x:c r="A11" s="11" t="str">
        <x:v>조준속도</x:v>
      </x:c>
      <x:c r="B11" s="11" t="str">
        <x:v>화살</x:v>
      </x:c>
      <x:c r="C11" s="11" t="str">
        <x:v>비율</x:v>
      </x:c>
      <x:c r="D11" s="15" t="n">
        <x:v>0.3</x:v>
      </x:c>
      <x:c r="E11" s="15" t="n">
        <x:v>0.6</x:v>
      </x:c>
      <x:c r="F11" s="15" t="n">
        <x:v>0.9</x:v>
      </x:c>
      <x:c r="G11" s="11" t="str">
        <x:v>회전·표적 추적 속도. 오발 확률은 변경하지 않음.</x:v>
      </x:c>
    </x:row>
    <x:row r="12" ht="42" customHeight="1">
      <x:c r="A12" s="10" t="str">
        <x:v>사거리</x:v>
      </x:c>
      <x:c r="B12" s="10" t="str">
        <x:v>투석</x:v>
      </x:c>
      <x:c r="C12" s="10" t="str">
        <x:v>비율</x:v>
      </x:c>
      <x:c r="D12" s="15" t="n">
        <x:v>0.15</x:v>
      </x:c>
      <x:c r="E12" s="15" t="n">
        <x:v>0.3</x:v>
      </x:c>
      <x:c r="F12" s="15" t="n">
        <x:v>0.45</x:v>
      </x:c>
      <x:c r="G12" s="10" t="str">
        <x:v>실제 탄도로 도달할 수 있어야 발사.</x:v>
      </x:c>
    </x:row>
    <x:row r="13" ht="42" customHeight="1">
      <x:c r="A13" s="11" t="str">
        <x:v>폭발 범위</x:v>
      </x:c>
      <x:c r="B13" s="11" t="str">
        <x:v>투석</x:v>
      </x:c>
      <x:c r="C13" s="11" t="str">
        <x:v>비율</x:v>
      </x:c>
      <x:c r="D13" s="15" t="n">
        <x:v>0.15</x:v>
      </x:c>
      <x:c r="E13" s="15" t="n">
        <x:v>0.3</x:v>
      </x:c>
      <x:c r="F13" s="15" t="n">
        <x:v>0.45</x:v>
      </x:c>
      <x:c r="G13" s="11" t="str">
        <x:v>반경 증가. 피해량 보너스와는 별개.</x:v>
      </x:c>
    </x:row>
    <x:row r="14" ht="42" customHeight="1">
      <x:c r="A14" s="10" t="str">
        <x:v>집속탄</x:v>
      </x:c>
      <x:c r="B14" s="10" t="str">
        <x:v>투석</x:v>
      </x:c>
      <x:c r="C14" s="10" t="str">
        <x:v>파편 수</x:v>
      </x:c>
      <x:c r="D14" s="14" t="n">
        <x:v>2</x:v>
      </x:c>
      <x:c r="E14" s="14" t="n">
        <x:v>4</x:v>
      </x:c>
      <x:c r="F14" s="14" t="n">
        <x:v>6</x:v>
      </x:c>
      <x:c r="G14" s="10" t="str">
        <x:v>본체 폭발 후 파편 산개. 파편 재분열 없음.</x:v>
      </x:c>
    </x:row>
    <x:row r="15" ht="42" customHeight="1">
      <x:c r="A15" s="11" t="str">
        <x:v>사거리</x:v>
      </x:c>
      <x:c r="B15" s="11" t="str">
        <x:v>화염</x:v>
      </x:c>
      <x:c r="C15" s="11" t="str">
        <x:v>블록</x:v>
      </x:c>
      <x:c r="D15" s="14" t="n">
        <x:v>0.5</x:v>
      </x:c>
      <x:c r="E15" s="14" t="n">
        <x:v>1</x:v>
      </x:c>
      <x:c r="F15" s="14" t="n">
        <x:v>1.5</x:v>
      </x:c>
      <x:c r="G15" s="11" t="str">
        <x:v>아래 방사각 보너스와 한 모듈의 결합 효과.</x:v>
      </x:c>
    </x:row>
    <x:row r="16" ht="42" customHeight="1">
      <x:c r="A16" s="10" t="str">
        <x:v>방사각 부가효과</x:v>
      </x:c>
      <x:c r="B16" s="10" t="str">
        <x:v>화염</x:v>
      </x:c>
      <x:c r="C16" s="10" t="str">
        <x:v>도</x:v>
      </x:c>
      <x:c r="D16" s="14" t="n">
        <x:v>45</x:v>
      </x:c>
      <x:c r="E16" s="14" t="n">
        <x:v>90</x:v>
      </x:c>
      <x:c r="F16" s="14" t="n">
        <x:v>135</x:v>
      </x:c>
      <x:c r="G16" s="10" t="str">
        <x:v>별도 모듈 아님. 화염 사거리 모듈에 포함.</x:v>
      </x:c>
    </x:row>
    <x:row r="17" ht="42" customHeight="1">
      <x:c r="A17" s="11" t="str">
        <x:v>지속 피해</x:v>
      </x:c>
      <x:c r="B17" s="11" t="str">
        <x:v>화염</x:v>
      </x:c>
      <x:c r="C17" s="11" t="str">
        <x:v>비율</x:v>
      </x:c>
      <x:c r="D17" s="15" t="n">
        <x:v>0.25</x:v>
      </x:c>
      <x:c r="E17" s="15" t="n">
        <x:v>0.5</x:v>
      </x:c>
      <x:c r="F17" s="15" t="n">
        <x:v>0.75</x:v>
      </x:c>
      <x:c r="G17" s="11" t="str">
        <x:v>화상만 증가. 공통 공격력과 같은 기준값에 합산.</x:v>
      </x:c>
    </x:row>
    <x:row r="18">
      <x:c r="A18" s="2"/>
      <x:c r="B18" s="2"/>
      <x:c r="C18" s="2"/>
      <x:c r="D18" s="2"/>
      <x:c r="E18" s="2"/>
      <x:c r="F18" s="2"/>
      <x:c r="G18" s="2"/>
    </x:row>
    <x:row r="19">
      <x:c r="A19" s="2"/>
      <x:c r="B19" s="2"/>
      <x:c r="C19" s="2"/>
      <x:c r="D19" s="2"/>
      <x:c r="E19" s="2"/>
      <x:c r="F19" s="2"/>
      <x:c r="G19" s="2"/>
    </x:row>
    <x:row r="20" ht="32" customHeight="1">
      <x:c r="A20" s="9" t="str">
        <x:v>항목</x:v>
      </x:c>
      <x:c r="B20" s="9" t="str">
        <x:v>대상</x:v>
      </x:c>
      <x:c r="C20" s="9" t="str">
        <x:v>단위</x:v>
      </x:c>
      <x:c r="D20" s="9" t="str">
        <x:v>값</x:v>
      </x:c>
      <x:c r="E20" s="9" t="str">
        <x:v>구분</x:v>
      </x:c>
      <x:c r="F20" s="9" t="str">
        <x:v>상태</x:v>
      </x:c>
      <x:c r="G20" s="9" t="str">
        <x:v>설명</x:v>
      </x:c>
    </x:row>
    <x:row r="21" ht="36" customHeight="1">
      <x:c r="A21" s="10" t="str">
        <x:v>관통 피해 유지율</x:v>
      </x:c>
      <x:c r="B21" s="10" t="str">
        <x:v>화살</x:v>
      </x:c>
      <x:c r="C21" s="10" t="str">
        <x:v>비율</x:v>
      </x:c>
      <x:c r="D21" s="15" t="n">
        <x:v>0.8</x:v>
      </x:c>
      <x:c r="E21" s="10" t="str">
        <x:v>감쇠</x:v>
      </x:c>
      <x:c r="F21" s="10" t="str">
        <x:v>제안</x:v>
      </x:c>
      <x:c r="G21" s="10" t="str">
        <x:v>관통마다 곱함.</x:v>
      </x:c>
    </x:row>
    <x:row r="22" ht="36" customHeight="1">
      <x:c r="A22" s="11" t="str">
        <x:v>도탄 피해 유지율</x:v>
      </x:c>
      <x:c r="B22" s="11" t="str">
        <x:v>화살</x:v>
      </x:c>
      <x:c r="C22" s="11" t="str">
        <x:v>비율</x:v>
      </x:c>
      <x:c r="D22" s="15" t="n">
        <x:v>0.75</x:v>
      </x:c>
      <x:c r="E22" s="11" t="str">
        <x:v>감쇠</x:v>
      </x:c>
      <x:c r="F22" s="11" t="str">
        <x:v>제안</x:v>
      </x:c>
      <x:c r="G22" s="11" t="str">
        <x:v>도탄마다 곱함. 동일 적 재도탄 금지 제안.</x:v>
      </x:c>
    </x:row>
    <x:row r="23" ht="36" customHeight="1">
      <x:c r="A23" s="10" t="str">
        <x:v>도탄 탐색 반경</x:v>
      </x:c>
      <x:c r="B23" s="10" t="str">
        <x:v>화살</x:v>
      </x:c>
      <x:c r="C23" s="10" t="str">
        <x:v>블록</x:v>
      </x:c>
      <x:c r="D23" s="14" t="n">
        <x:v>6</x:v>
      </x:c>
      <x:c r="E23" s="10" t="str">
        <x:v>거리</x:v>
      </x:c>
      <x:c r="F23" s="10" t="str">
        <x:v>제안</x:v>
      </x:c>
      <x:c r="G23" s="10" t="str">
        <x:v>일반 블록에 가려진 표적 제외.</x:v>
      </x:c>
    </x:row>
    <x:row r="24" ht="36" customHeight="1">
      <x:c r="A24" s="11" t="str">
        <x:v>집속 파편 피해</x:v>
      </x:c>
      <x:c r="B24" s="11" t="str">
        <x:v>투석</x:v>
      </x:c>
      <x:c r="C24" s="11" t="str">
        <x:v>HP</x:v>
      </x:c>
      <x:c r="D24" s="14" t="n">
        <x:v>4</x:v>
      </x:c>
      <x:c r="E24" s="11" t="str">
        <x:v>피해</x:v>
      </x:c>
      <x:c r="F24" s="11" t="str">
        <x:v>제안</x:v>
      </x:c>
      <x:c r="G24" s="11" t="str">
        <x:v>공통 공격력 보너스 적용.</x:v>
      </x:c>
    </x:row>
    <x:row r="25" ht="36" customHeight="1">
      <x:c r="A25" s="10" t="str">
        <x:v>집속 파편 반경</x:v>
      </x:c>
      <x:c r="B25" s="10" t="str">
        <x:v>투석</x:v>
      </x:c>
      <x:c r="C25" s="10" t="str">
        <x:v>블록</x:v>
      </x:c>
      <x:c r="D25" s="14" t="n">
        <x:v>1</x:v>
      </x:c>
      <x:c r="E25" s="10" t="str">
        <x:v>반경</x:v>
      </x:c>
      <x:c r="F25" s="10" t="str">
        <x:v>제안</x:v>
      </x:c>
      <x:c r="G25" s="10" t="str">
        <x:v>폭발 범위 모듈 적용 여부는 검토 항목.</x:v>
      </x:c>
    </x:row>
    <x:row r="26" ht="36" customHeight="1">
      <x:c r="A26" s="11" t="str">
        <x:v>화염 최대 각도</x:v>
      </x:c>
      <x:c r="B26" s="11" t="str">
        <x:v>화염</x:v>
      </x:c>
      <x:c r="C26" s="11" t="str">
        <x:v>도</x:v>
      </x:c>
      <x:c r="D26" s="14" t="n">
        <x:v>360</x:v>
      </x:c>
      <x:c r="E26" s="11" t="str">
        <x:v>상한</x:v>
      </x:c>
      <x:c r="F26" s="11" t="str">
        <x:v>확정</x:v>
      </x:c>
      <x:c r="G26" s="11" t="str">
        <x:v>사거리 모듈의 각도 합산 후 제한.</x:v>
      </x:c>
    </x:row>
    <x:row r="27">
      <x:c r="A27" s="2"/>
      <x:c r="B27" s="2"/>
      <x:c r="C27" s="2"/>
      <x:c r="D27" s="2"/>
      <x:c r="E27" s="2"/>
      <x:c r="F27" s="2"/>
      <x:c r="G27" s="2"/>
    </x:row>
    <x:row r="28">
      <x:c r="A28" s="2"/>
      <x:c r="B28" s="2"/>
      <x:c r="C28" s="2"/>
      <x:c r="D28" s="2"/>
      <x:c r="E28" s="2"/>
      <x:c r="F28" s="2"/>
      <x:c r="G28" s="2"/>
    </x:row>
    <x:row r="29" ht="32" customHeight="1">
      <x:c r="A29" s="9" t="str">
        <x:v>증폭제</x:v>
      </x:c>
      <x:c r="B29" s="9" t="str">
        <x:v>대상</x:v>
      </x:c>
      <x:c r="C29" s="9" t="str">
        <x:v>피해 보너스</x:v>
      </x:c>
      <x:c r="D29" s="9" t="str">
        <x:v>공속 보너스</x:v>
      </x:c>
      <x:c r="E29" s="9" t="str">
        <x:v>사거리 보너스</x:v>
      </x:c>
      <x:c r="F29" s="9" t="str">
        <x:v>탄속 보너스</x:v>
      </x:c>
      <x:c r="G29" s="9" t="str">
        <x:v>소비 규칙</x:v>
      </x:c>
    </x:row>
    <x:row r="30" ht="36" customHeight="1">
      <x:c r="A30" s="10" t="str">
        <x:v>블레이즈 가루</x:v>
      </x:c>
      <x:c r="B30" s="10" t="str">
        <x:v>투석</x:v>
      </x:c>
      <x:c r="C30" s="15" t="n">
        <x:v>0</x:v>
      </x:c>
      <x:c r="D30" s="15" t="n">
        <x:v>0.25</x:v>
      </x:c>
      <x:c r="E30" s="15" t="n">
        <x:v>0</x:v>
      </x:c>
      <x:c r="F30" s="15" t="n">
        <x:v>0</x:v>
      </x:c>
      <x:c r="G30" s="10" t="str">
        <x:v>1개로 아래 지정 발수 증폭.</x:v>
      </x:c>
    </x:row>
    <x:row r="31" ht="36" customHeight="1">
      <x:c r="A31" s="11" t="str">
        <x:v>화약</x:v>
      </x:c>
      <x:c r="B31" s="11" t="str">
        <x:v>투석</x:v>
      </x:c>
      <x:c r="C31" s="15" t="n">
        <x:v>0.25</x:v>
      </x:c>
      <x:c r="D31" s="15" t="n">
        <x:v>0</x:v>
      </x:c>
      <x:c r="E31" s="15" t="n">
        <x:v>0.2</x:v>
      </x:c>
      <x:c r="F31" s="15" t="n">
        <x:v>0.15</x:v>
      </x:c>
      <x:c r="G31" s="11" t="str">
        <x:v>1개로 아래 지정 발수 증폭.</x:v>
      </x:c>
    </x:row>
    <x:row r="32" ht="36" customHeight="1">
      <x:c r="A32" s="10" t="str">
        <x:v>용암</x:v>
      </x:c>
      <x:c r="B32" s="10" t="str">
        <x:v>화염</x:v>
      </x:c>
      <x:c r="C32" s="15" t="n">
        <x:v>0.3</x:v>
      </x:c>
      <x:c r="D32" s="15" t="n">
        <x:v>0</x:v>
      </x:c>
      <x:c r="E32" s="15" t="n">
        <x:v>0</x:v>
      </x:c>
      <x:c r="F32" s="15" t="n">
        <x:v>0</x:v>
      </x:c>
      <x:c r="G32" s="10" t="str">
        <x:v>직접 피해·화상 증가. 분사 중 별도 탱크 소비.</x:v>
      </x:c>
    </x:row>
    <x:row r="33">
      <x:c r="A33" s="2"/>
      <x:c r="B33" s="2"/>
      <x:c r="C33" s="2"/>
      <x:c r="D33" s="2"/>
      <x:c r="E33" s="2"/>
      <x:c r="F33" s="2"/>
      <x:c r="G33" s="2"/>
    </x:row>
    <x:row r="34">
      <x:c r="A34" s="2"/>
      <x:c r="B34" s="2"/>
      <x:c r="C34" s="2"/>
      <x:c r="D34" s="2"/>
      <x:c r="E34" s="2"/>
      <x:c r="F34" s="2"/>
      <x:c r="G34" s="2"/>
    </x:row>
    <x:row r="35" ht="32" customHeight="1">
      <x:c r="A35" s="9" t="str">
        <x:v>항목</x:v>
      </x:c>
      <x:c r="B35" s="9" t="str">
        <x:v>대상</x:v>
      </x:c>
      <x:c r="C35" s="9" t="str">
        <x:v>단위</x:v>
      </x:c>
      <x:c r="D35" s="9" t="str">
        <x:v>값</x:v>
      </x:c>
      <x:c r="E35" s="9" t="str">
        <x:v>상태</x:v>
      </x:c>
      <x:c r="F35" s="2"/>
      <x:c r="G35" s="2"/>
    </x:row>
    <x:row r="36" ht="30" customHeight="1">
      <x:c r="A36" s="10" t="str">
        <x:v>아이템 증폭 지속</x:v>
      </x:c>
      <x:c r="B36" s="10" t="str">
        <x:v>투석</x:v>
      </x:c>
      <x:c r="C36" s="10" t="str">
        <x:v>발/개</x:v>
      </x:c>
      <x:c r="D36" s="18" t="n">
        <x:v>16</x:v>
      </x:c>
      <x:c r="E36" s="10" t="str">
        <x:v>제안</x:v>
      </x:c>
      <x:c r="F36" s="2"/>
      <x:c r="G36" s="2"/>
    </x:row>
    <x:row r="37" ht="30" customHeight="1">
      <x:c r="A37" s="11" t="str">
        <x:v>용암 소비</x:v>
      </x:c>
      <x:c r="B37" s="11" t="str">
        <x:v>화염</x:v>
      </x:c>
      <x:c r="C37" s="11" t="str">
        <x:v>mB/분사틱</x:v>
      </x:c>
      <x:c r="D37" s="18" t="n">
        <x:v>1</x:v>
      </x:c>
      <x:c r="E37" s="11" t="str">
        <x:v>제안</x:v>
      </x:c>
      <x:c r="F37" s="2"/>
      <x:c r="G37" s="2"/>
    </x:row>
    <x:row r="38" ht="30" customHeight="1">
      <x:c r="A38" s="10" t="str">
        <x:v>증폭 유체 탱크</x:v>
      </x:c>
      <x:c r="B38" s="10" t="str">
        <x:v>공통</x:v>
      </x:c>
      <x:c r="C38" s="10" t="str">
        <x:v>mB</x:v>
      </x:c>
      <x:c r="D38" s="18" t="n">
        <x:v>1000</x:v>
      </x:c>
      <x:c r="E38" s="10" t="str">
        <x:v>확정</x:v>
      </x:c>
      <x:c r="F38" s="2"/>
      <x:c r="G38" s="2"/>
    </x:row>
    <x:row r="39" ht="30" customHeight="1">
      <x:c r="A39" s="11" t="str">
        <x:v>증폭 아이템 슬롯</x:v>
      </x:c>
      <x:c r="B39" s="11" t="str">
        <x:v>공통</x:v>
      </x:c>
      <x:c r="C39" s="11" t="str">
        <x:v>칸</x:v>
      </x:c>
      <x:c r="D39" s="18" t="n">
        <x:v>1</x:v>
      </x:c>
      <x:c r="E39" s="11" t="str">
        <x:v>확정</x:v>
      </x:c>
      <x:c r="F39" s="2"/>
      <x:c r="G39" s="2"/>
    </x:row>
    <x:row r="40" ht="30" customHeight="1">
      <x:c r="A40" s="10" t="str">
        <x:v>동시 활성 증폭</x:v>
      </x:c>
      <x:c r="B40" s="10" t="str">
        <x:v>공통</x:v>
      </x:c>
      <x:c r="C40" s="10" t="str">
        <x:v>종류</x:v>
      </x:c>
      <x:c r="D40" s="18" t="n">
        <x:v>1</x:v>
      </x:c>
      <x:c r="E40" s="10" t="str">
        <x:v>확정</x:v>
      </x:c>
      <x:c r="F40" s="2"/>
      <x:c r="G40" s="2"/>
    </x:row>
    <x:row r="41">
      <x:c r="A41" s="2"/>
      <x:c r="B41" s="2"/>
      <x:c r="C41" s="2"/>
      <x:c r="D41" s="2"/>
      <x:c r="E41" s="2"/>
      <x:c r="F41" s="2"/>
      <x:c r="G41" s="2"/>
    </x:row>
    <x:row r="42">
      <x:c r="A42" s="2"/>
      <x:c r="B42" s="2"/>
      <x:c r="C42" s="2"/>
      <x:c r="D42" s="2"/>
      <x:c r="E42" s="2"/>
      <x:c r="F42" s="2"/>
      <x:c r="G42" s="2"/>
    </x:row>
    <x:row r="43">
      <x:c r="A43" s="2"/>
      <x:c r="B43" s="2"/>
      <x:c r="C43" s="2"/>
      <x:c r="D43" s="2"/>
      <x:c r="E43" s="2"/>
      <x:c r="F43" s="2"/>
      <x:c r="G43" s="2"/>
    </x:row>
    <x:row r="44">
      <x:c r="A44" s="2"/>
      <x:c r="B44" s="2"/>
      <x:c r="C44" s="2"/>
      <x:c r="D44" s="2"/>
      <x:c r="E44" s="2"/>
      <x:c r="F44" s="2"/>
      <x:c r="G44" s="2"/>
    </x:row>
    <x:row r="45">
      <x:c r="A45" s="2"/>
      <x:c r="B45" s="2"/>
      <x:c r="C45" s="2"/>
      <x:c r="D45" s="2"/>
      <x:c r="E45" s="2"/>
      <x:c r="F45" s="2"/>
      <x:c r="G45" s="2"/>
    </x:row>
    <x:row r="46">
      <x:c r="A46" s="2"/>
      <x:c r="B46" s="2"/>
      <x:c r="C46" s="2"/>
      <x:c r="D46" s="2"/>
      <x:c r="E46" s="2"/>
      <x:c r="F46" s="2"/>
      <x:c r="G46" s="2"/>
    </x:row>
    <x:row r="47">
      <x:c r="A47" s="2"/>
      <x:c r="B47" s="2"/>
      <x:c r="C47" s="2"/>
      <x:c r="D47" s="2"/>
      <x:c r="E47" s="2"/>
      <x:c r="F47" s="2"/>
      <x:c r="G47" s="2"/>
    </x:row>
    <x:row r="48">
      <x:c r="A48" s="2"/>
      <x:c r="B48" s="2"/>
      <x:c r="C48" s="2"/>
      <x:c r="D48" s="2"/>
      <x:c r="E48" s="2"/>
      <x:c r="F48" s="2"/>
      <x:c r="G48" s="2"/>
    </x:row>
    <x:row r="49">
      <x:c r="A49" s="2"/>
      <x:c r="B49" s="2"/>
      <x:c r="C49" s="2"/>
      <x:c r="D49" s="2"/>
      <x:c r="E49" s="2"/>
      <x:c r="F49" s="2"/>
      <x:c r="G49" s="2"/>
    </x:row>
    <x:row r="50">
      <x:c r="A50" s="2"/>
      <x:c r="B50" s="2"/>
      <x:c r="C50" s="2"/>
      <x:c r="D50" s="2"/>
      <x:c r="E50" s="2"/>
      <x:c r="F50" s="2"/>
      <x:c r="G50" s="2"/>
    </x:row>
    <x:row r="51">
      <x:c r="A51" s="2"/>
      <x:c r="B51" s="2"/>
      <x:c r="C51" s="2"/>
      <x:c r="D51" s="2"/>
      <x:c r="E51" s="2"/>
      <x:c r="F51" s="2"/>
      <x:c r="G51" s="2"/>
    </x:row>
    <x:row r="52">
      <x:c r="A52" s="2"/>
      <x:c r="B52" s="2"/>
      <x:c r="C52" s="2"/>
      <x:c r="D52" s="2"/>
      <x:c r="E52" s="2"/>
      <x:c r="F52" s="2"/>
      <x:c r="G52" s="2"/>
    </x:row>
    <x:row r="53">
      <x:c r="A53" s="2"/>
      <x:c r="B53" s="2"/>
      <x:c r="C53" s="2"/>
      <x:c r="D53" s="2"/>
      <x:c r="E53" s="2"/>
      <x:c r="F53" s="2"/>
      <x:c r="G53" s="2"/>
    </x:row>
    <x:row r="54">
      <x:c r="A54" s="2"/>
      <x:c r="B54" s="2"/>
      <x:c r="C54" s="2"/>
      <x:c r="D54" s="2"/>
      <x:c r="E54" s="2"/>
      <x:c r="F54" s="2"/>
      <x:c r="G54" s="2"/>
    </x:row>
    <x:row r="55">
      <x:c r="A55" s="2"/>
      <x:c r="B55" s="2"/>
      <x:c r="C55" s="2"/>
      <x:c r="D55" s="2"/>
      <x:c r="E55" s="2"/>
      <x:c r="F55" s="2"/>
      <x:c r="G55" s="2"/>
    </x:row>
    <x:row r="56">
      <x:c r="A56" s="2"/>
      <x:c r="B56" s="2"/>
      <x:c r="C56" s="2"/>
      <x:c r="D56" s="2"/>
      <x:c r="E56" s="2"/>
      <x:c r="F56" s="2"/>
      <x:c r="G56" s="2"/>
    </x:row>
    <x:row r="57">
      <x:c r="A57" s="2"/>
      <x:c r="B57" s="2"/>
      <x:c r="C57" s="2"/>
      <x:c r="D57" s="2"/>
      <x:c r="E57" s="2"/>
      <x:c r="F57" s="2"/>
      <x:c r="G57" s="2"/>
    </x:row>
    <x:row r="58">
      <x:c r="A58" s="2"/>
      <x:c r="B58" s="2"/>
      <x:c r="C58" s="2"/>
      <x:c r="D58" s="2"/>
      <x:c r="E58" s="2"/>
      <x:c r="F58" s="2"/>
      <x:c r="G58" s="2"/>
    </x:row>
    <x:row r="59">
      <x:c r="A59" s="2"/>
      <x:c r="B59" s="2"/>
      <x:c r="C59" s="2"/>
      <x:c r="D59" s="2"/>
      <x:c r="E59" s="2"/>
      <x:c r="F59" s="2"/>
      <x:c r="G59" s="2"/>
    </x:row>
    <x:row r="60">
      <x:c r="A60" s="2"/>
      <x:c r="B60" s="2"/>
      <x:c r="C60" s="2"/>
      <x:c r="D60" s="2"/>
      <x:c r="E60" s="2"/>
      <x:c r="F60" s="2"/>
      <x:c r="G60" s="2"/>
    </x:row>
    <x:row r="61">
      <x:c r="A61" s="2"/>
      <x:c r="B61" s="2"/>
      <x:c r="C61" s="2"/>
      <x:c r="D61" s="2"/>
      <x:c r="E61" s="2"/>
      <x:c r="F61" s="2"/>
      <x:c r="G61" s="2"/>
    </x:row>
    <x:row r="62">
      <x:c r="A62" s="2"/>
      <x:c r="B62" s="2"/>
      <x:c r="C62" s="2"/>
      <x:c r="D62" s="2"/>
      <x:c r="E62" s="2"/>
      <x:c r="F62" s="2"/>
      <x:c r="G62" s="2"/>
    </x:row>
    <x:row r="63">
      <x:c r="A63" s="2"/>
      <x:c r="B63" s="2"/>
      <x:c r="C63" s="2"/>
      <x:c r="D63" s="2"/>
      <x:c r="E63" s="2"/>
      <x:c r="F63" s="2"/>
      <x:c r="G63" s="2"/>
    </x:row>
    <x:row r="64">
      <x:c r="A64" s="2"/>
      <x:c r="B64" s="2"/>
      <x:c r="C64" s="2"/>
      <x:c r="D64" s="2"/>
      <x:c r="E64" s="2"/>
      <x:c r="F64" s="2"/>
      <x:c r="G64" s="2"/>
    </x:row>
    <x:row r="65">
      <x:c r="A65" s="2"/>
      <x:c r="B65" s="2"/>
      <x:c r="C65" s="2"/>
      <x:c r="D65" s="2"/>
      <x:c r="E65" s="2"/>
      <x:c r="F65" s="2"/>
      <x:c r="G65" s="2"/>
    </x:row>
    <x:row r="66">
      <x:c r="A66" s="2"/>
      <x:c r="B66" s="2"/>
      <x:c r="C66" s="2"/>
      <x:c r="D66" s="2"/>
      <x:c r="E66" s="2"/>
      <x:c r="F66" s="2"/>
      <x:c r="G66" s="2"/>
    </x:row>
    <x:row r="67">
      <x:c r="A67" s="2"/>
      <x:c r="B67" s="2"/>
      <x:c r="C67" s="2"/>
      <x:c r="D67" s="2"/>
      <x:c r="E67" s="2"/>
      <x:c r="F67" s="2"/>
      <x:c r="G67" s="2"/>
    </x:row>
    <x:row r="68">
      <x:c r="A68" s="2"/>
      <x:c r="B68" s="2"/>
      <x:c r="C68" s="2"/>
      <x:c r="D68" s="2"/>
      <x:c r="E68" s="2"/>
      <x:c r="F68" s="2"/>
      <x:c r="G68" s="2"/>
    </x:row>
    <x:row r="69">
      <x:c r="A69" s="2"/>
      <x:c r="B69" s="2"/>
      <x:c r="C69" s="2"/>
      <x:c r="D69" s="2"/>
      <x:c r="E69" s="2"/>
      <x:c r="F69" s="2"/>
      <x:c r="G69" s="2"/>
    </x:row>
    <x:row r="70">
      <x:c r="A70" s="2"/>
      <x:c r="B70" s="2"/>
      <x:c r="C70" s="2"/>
      <x:c r="D70" s="2"/>
      <x:c r="E70" s="2"/>
      <x:c r="F70" s="2"/>
      <x:c r="G70" s="2"/>
    </x:row>
    <x:row r="71">
      <x:c r="A71" s="2"/>
      <x:c r="B71" s="2"/>
      <x:c r="C71" s="2"/>
      <x:c r="D71" s="2"/>
      <x:c r="E71" s="2"/>
      <x:c r="F71" s="2"/>
      <x:c r="G71" s="2"/>
    </x:row>
    <x:row r="72">
      <x:c r="A72" s="2"/>
      <x:c r="B72" s="2"/>
      <x:c r="C72" s="2"/>
      <x:c r="D72" s="2"/>
      <x:c r="E72" s="2"/>
      <x:c r="F72" s="2"/>
      <x:c r="G72" s="2"/>
    </x:row>
    <x:row r="73">
      <x:c r="A73" s="2"/>
      <x:c r="B73" s="2"/>
      <x:c r="C73" s="2"/>
      <x:c r="D73" s="2"/>
      <x:c r="E73" s="2"/>
      <x:c r="F73" s="2"/>
      <x:c r="G73" s="2"/>
    </x:row>
    <x:row r="74">
      <x:c r="A74" s="2"/>
      <x:c r="B74" s="2"/>
      <x:c r="C74" s="2"/>
      <x:c r="D74" s="2"/>
      <x:c r="E74" s="2"/>
      <x:c r="F74" s="2"/>
      <x:c r="G74" s="2"/>
    </x:row>
    <x:row r="75">
      <x:c r="A75" s="2"/>
      <x:c r="B75" s="2"/>
      <x:c r="C75" s="2"/>
      <x:c r="D75" s="2"/>
      <x:c r="E75" s="2"/>
      <x:c r="F75" s="2"/>
      <x:c r="G75" s="2"/>
    </x:row>
    <x:row r="76">
      <x:c r="A76" s="2"/>
      <x:c r="B76" s="2"/>
      <x:c r="C76" s="2"/>
      <x:c r="D76" s="2"/>
      <x:c r="E76" s="2"/>
      <x:c r="F76" s="2"/>
      <x:c r="G76" s="2"/>
    </x:row>
    <x:row r="77">
      <x:c r="A77" s="2"/>
      <x:c r="B77" s="2"/>
      <x:c r="C77" s="2"/>
      <x:c r="D77" s="2"/>
      <x:c r="E77" s="2"/>
      <x:c r="F77" s="2"/>
      <x:c r="G77" s="2"/>
    </x:row>
    <x:row r="78">
      <x:c r="A78" s="2"/>
      <x:c r="B78" s="2"/>
      <x:c r="C78" s="2"/>
      <x:c r="D78" s="2"/>
      <x:c r="E78" s="2"/>
      <x:c r="F78" s="2"/>
      <x:c r="G78" s="2"/>
    </x:row>
    <x:row r="79">
      <x:c r="A79" s="2"/>
      <x:c r="B79" s="2"/>
      <x:c r="C79" s="2"/>
      <x:c r="D79" s="2"/>
      <x:c r="E79" s="2"/>
      <x:c r="F79" s="2"/>
      <x:c r="G79" s="2"/>
    </x:row>
    <x:row r="80">
      <x:c r="A80" s="2"/>
      <x:c r="B80" s="2"/>
      <x:c r="C80" s="2"/>
      <x:c r="D80" s="2"/>
      <x:c r="E80" s="2"/>
      <x:c r="F80" s="2"/>
      <x:c r="G80" s="2"/>
    </x:row>
    <x:row r="81">
      <x:c r="A81" s="2"/>
      <x:c r="B81" s="2"/>
      <x:c r="C81" s="2"/>
      <x:c r="D81" s="2"/>
      <x:c r="E81" s="2"/>
      <x:c r="F81" s="2"/>
      <x:c r="G81" s="2"/>
    </x:row>
    <x:row r="82">
      <x:c r="A82" s="2"/>
      <x:c r="B82" s="2"/>
      <x:c r="C82" s="2"/>
      <x:c r="D82" s="2"/>
      <x:c r="E82" s="2"/>
      <x:c r="F82" s="2"/>
      <x:c r="G82" s="2"/>
    </x:row>
    <x:row r="83">
      <x:c r="A83" s="2"/>
      <x:c r="B83" s="2"/>
      <x:c r="C83" s="2"/>
      <x:c r="D83" s="2"/>
      <x:c r="E83" s="2"/>
      <x:c r="F83" s="2"/>
      <x:c r="G83" s="2"/>
    </x:row>
    <x:row r="84">
      <x:c r="A84" s="2"/>
      <x:c r="B84" s="2"/>
      <x:c r="C84" s="2"/>
      <x:c r="D84" s="2"/>
      <x:c r="E84" s="2"/>
      <x:c r="F84" s="2"/>
      <x:c r="G84" s="2"/>
    </x:row>
    <x:row r="85">
      <x:c r="A85" s="2"/>
      <x:c r="B85" s="2"/>
      <x:c r="C85" s="2"/>
      <x:c r="D85" s="2"/>
      <x:c r="E85" s="2"/>
      <x:c r="F85" s="2"/>
      <x:c r="G85" s="2"/>
    </x:row>
    <x:row r="86">
      <x:c r="A86" s="2"/>
      <x:c r="B86" s="2"/>
      <x:c r="C86" s="2"/>
      <x:c r="D86" s="2"/>
      <x:c r="E86" s="2"/>
      <x:c r="F86" s="2"/>
      <x:c r="G86" s="2"/>
    </x:row>
    <x:row r="87">
      <x:c r="A87" s="2"/>
      <x:c r="B87" s="2"/>
      <x:c r="C87" s="2"/>
      <x:c r="D87" s="2"/>
      <x:c r="E87" s="2"/>
      <x:c r="F87" s="2"/>
      <x:c r="G87" s="2"/>
    </x:row>
    <x:row r="88">
      <x:c r="A88" s="2"/>
      <x:c r="B88" s="2"/>
      <x:c r="C88" s="2"/>
      <x:c r="D88" s="2"/>
      <x:c r="E88" s="2"/>
      <x:c r="F88" s="2"/>
      <x:c r="G88" s="2"/>
    </x:row>
    <x:row r="89">
      <x:c r="A89" s="2"/>
      <x:c r="B89" s="2"/>
      <x:c r="C89" s="2"/>
      <x:c r="D89" s="2"/>
      <x:c r="E89" s="2"/>
      <x:c r="F89" s="2"/>
      <x:c r="G89" s="2"/>
    </x:row>
    <x:row r="90">
      <x:c r="A90" s="2"/>
      <x:c r="B90" s="2"/>
      <x:c r="C90" s="2"/>
      <x:c r="D90" s="2"/>
      <x:c r="E90" s="2"/>
      <x:c r="F90" s="2"/>
      <x:c r="G90" s="2"/>
    </x:row>
    <x:row r="91">
      <x:c r="A91" s="2"/>
      <x:c r="B91" s="2"/>
      <x:c r="C91" s="2"/>
      <x:c r="D91" s="2"/>
      <x:c r="E91" s="2"/>
      <x:c r="F91" s="2"/>
      <x:c r="G91" s="2"/>
    </x:row>
    <x:row r="92">
      <x:c r="A92" s="2"/>
      <x:c r="B92" s="2"/>
      <x:c r="C92" s="2"/>
      <x:c r="D92" s="2"/>
      <x:c r="E92" s="2"/>
      <x:c r="F92" s="2"/>
      <x:c r="G92" s="2"/>
    </x:row>
    <x:row r="93">
      <x:c r="A93" s="2"/>
      <x:c r="B93" s="2"/>
      <x:c r="C93" s="2"/>
      <x:c r="D93" s="2"/>
      <x:c r="E93" s="2"/>
      <x:c r="F93" s="2"/>
      <x:c r="G93" s="2"/>
    </x:row>
    <x:row r="94">
      <x:c r="A94" s="2"/>
      <x:c r="B94" s="2"/>
      <x:c r="C94" s="2"/>
      <x:c r="D94" s="2"/>
      <x:c r="E94" s="2"/>
      <x:c r="F94" s="2"/>
      <x:c r="G94" s="2"/>
    </x:row>
    <x:row r="95">
      <x:c r="A95" s="2"/>
      <x:c r="B95" s="2"/>
      <x:c r="C95" s="2"/>
      <x:c r="D95" s="2"/>
      <x:c r="E95" s="2"/>
      <x:c r="F95" s="2"/>
      <x:c r="G95" s="2"/>
    </x:row>
    <x:row r="96">
      <x:c r="A96" s="2"/>
      <x:c r="B96" s="2"/>
      <x:c r="C96" s="2"/>
      <x:c r="D96" s="2"/>
      <x:c r="E96" s="2"/>
      <x:c r="F96" s="2"/>
      <x:c r="G96" s="2"/>
    </x:row>
    <x:row r="97">
      <x:c r="A97" s="2"/>
      <x:c r="B97" s="2"/>
      <x:c r="C97" s="2"/>
      <x:c r="D97" s="2"/>
      <x:c r="E97" s="2"/>
      <x:c r="F97" s="2"/>
      <x:c r="G97" s="2"/>
    </x:row>
    <x:row r="98">
      <x:c r="A98" s="2"/>
      <x:c r="B98" s="2"/>
      <x:c r="C98" s="2"/>
      <x:c r="D98" s="2"/>
      <x:c r="E98" s="2"/>
      <x:c r="F98" s="2"/>
      <x:c r="G98" s="2"/>
    </x:row>
    <x:row r="99">
      <x:c r="A99" s="2"/>
      <x:c r="B99" s="2"/>
      <x:c r="C99" s="2"/>
      <x:c r="D99" s="2"/>
      <x:c r="E99" s="2"/>
      <x:c r="F99" s="2"/>
      <x:c r="G99" s="2"/>
    </x:row>
    <x:row r="100">
      <x:c r="A100" s="2"/>
      <x:c r="B100" s="2"/>
      <x:c r="C100" s="2"/>
      <x:c r="D100" s="2"/>
      <x:c r="E100" s="2"/>
      <x:c r="F100" s="2"/>
      <x:c r="G100" s="2"/>
    </x:row>
    <x:row r="101">
      <x:c r="A101" s="2"/>
      <x:c r="B101" s="2"/>
      <x:c r="C101" s="2"/>
      <x:c r="D101" s="2"/>
      <x:c r="E101" s="2"/>
      <x:c r="F101" s="2"/>
      <x:c r="G101" s="2"/>
    </x:row>
    <x:row r="102">
      <x:c r="A102" s="2"/>
      <x:c r="B102" s="2"/>
      <x:c r="C102" s="2"/>
      <x:c r="D102" s="2"/>
      <x:c r="E102" s="2"/>
      <x:c r="F102" s="2"/>
      <x:c r="G102" s="2"/>
    </x:row>
    <x:row r="103">
      <x:c r="A103" s="2"/>
      <x:c r="B103" s="2"/>
      <x:c r="C103" s="2"/>
      <x:c r="D103" s="2"/>
      <x:c r="E103" s="2"/>
      <x:c r="F103" s="2"/>
      <x:c r="G103" s="2"/>
    </x:row>
    <x:row r="104">
      <x:c r="A104" s="2"/>
      <x:c r="B104" s="2"/>
      <x:c r="C104" s="2"/>
      <x:c r="D104" s="2"/>
      <x:c r="E104" s="2"/>
      <x:c r="F104" s="2"/>
      <x:c r="G104" s="2"/>
    </x:row>
    <x:row r="105">
      <x:c r="A105" s="2"/>
      <x:c r="B105" s="2"/>
      <x:c r="C105" s="2"/>
      <x:c r="D105" s="2"/>
      <x:c r="E105" s="2"/>
      <x:c r="F105" s="2"/>
      <x:c r="G105" s="2"/>
    </x:row>
    <x:row r="106">
      <x:c r="A106" s="2"/>
      <x:c r="B106" s="2"/>
      <x:c r="C106" s="2"/>
      <x:c r="D106" s="2"/>
      <x:c r="E106" s="2"/>
      <x:c r="F106" s="2"/>
      <x:c r="G106" s="2"/>
    </x:row>
    <x:row r="107">
      <x:c r="A107" s="2"/>
      <x:c r="B107" s="2"/>
      <x:c r="C107" s="2"/>
      <x:c r="D107" s="2"/>
      <x:c r="E107" s="2"/>
      <x:c r="F107" s="2"/>
      <x:c r="G107" s="2"/>
    </x:row>
    <x:row r="108">
      <x:c r="A108" s="2"/>
      <x:c r="B108" s="2"/>
      <x:c r="C108" s="2"/>
      <x:c r="D108" s="2"/>
      <x:c r="E108" s="2"/>
      <x:c r="F108" s="2"/>
      <x:c r="G108" s="2"/>
    </x:row>
    <x:row r="109">
      <x:c r="A109" s="2"/>
      <x:c r="B109" s="2"/>
      <x:c r="C109" s="2"/>
      <x:c r="D109" s="2"/>
      <x:c r="E109" s="2"/>
      <x:c r="F109" s="2"/>
      <x:c r="G109" s="2"/>
    </x:row>
    <x:row r="110">
      <x:c r="A110" s="2"/>
      <x:c r="B110" s="2"/>
      <x:c r="C110" s="2"/>
      <x:c r="D110" s="2"/>
      <x:c r="E110" s="2"/>
      <x:c r="F110" s="2"/>
      <x:c r="G110" s="2"/>
    </x:row>
    <x:row r="111">
      <x:c r="A111" s="2"/>
      <x:c r="B111" s="2"/>
      <x:c r="C111" s="2"/>
      <x:c r="D111" s="2"/>
      <x:c r="E111" s="2"/>
      <x:c r="F111" s="2"/>
      <x:c r="G111" s="2"/>
    </x:row>
    <x:row r="112">
      <x:c r="A112" s="2"/>
      <x:c r="B112" s="2"/>
      <x:c r="C112" s="2"/>
      <x:c r="D112" s="2"/>
      <x:c r="E112" s="2"/>
      <x:c r="F112" s="2"/>
      <x:c r="G112" s="2"/>
    </x:row>
    <x:row r="113">
      <x:c r="A113" s="2"/>
      <x:c r="B113" s="2"/>
      <x:c r="C113" s="2"/>
      <x:c r="D113" s="2"/>
      <x:c r="E113" s="2"/>
      <x:c r="F113" s="2"/>
      <x:c r="G113" s="2"/>
    </x:row>
    <x:row r="114">
      <x:c r="A114" s="2"/>
      <x:c r="B114" s="2"/>
      <x:c r="C114" s="2"/>
      <x:c r="D114" s="2"/>
      <x:c r="E114" s="2"/>
      <x:c r="F114" s="2"/>
      <x:c r="G114" s="2"/>
    </x:row>
    <x:row r="115">
      <x:c r="A115" s="2"/>
      <x:c r="B115" s="2"/>
      <x:c r="C115" s="2"/>
      <x:c r="D115" s="2"/>
      <x:c r="E115" s="2"/>
      <x:c r="F115" s="2"/>
      <x:c r="G115" s="2"/>
    </x:row>
    <x:row r="116">
      <x:c r="A116" s="2"/>
      <x:c r="B116" s="2"/>
      <x:c r="C116" s="2"/>
      <x:c r="D116" s="2"/>
      <x:c r="E116" s="2"/>
      <x:c r="F116" s="2"/>
      <x:c r="G116" s="2"/>
    </x:row>
    <x:row r="117">
      <x:c r="A117" s="2"/>
      <x:c r="B117" s="2"/>
      <x:c r="C117" s="2"/>
      <x:c r="D117" s="2"/>
      <x:c r="E117" s="2"/>
      <x:c r="F117" s="2"/>
      <x:c r="G117" s="2"/>
    </x:row>
    <x:row r="118">
      <x:c r="A118" s="2"/>
      <x:c r="B118" s="2"/>
      <x:c r="C118" s="2"/>
      <x:c r="D118" s="2"/>
      <x:c r="E118" s="2"/>
      <x:c r="F118" s="2"/>
      <x:c r="G118" s="2"/>
    </x:row>
    <x:row r="119">
      <x:c r="A119" s="2"/>
      <x:c r="B119" s="2"/>
      <x:c r="C119" s="2"/>
      <x:c r="D119" s="2"/>
      <x:c r="E119" s="2"/>
      <x:c r="F119" s="2"/>
      <x:c r="G119" s="2"/>
    </x:row>
    <x:row r="120">
      <x:c r="A120" s="2"/>
      <x:c r="B120" s="2"/>
      <x:c r="C120" s="2"/>
      <x:c r="D120" s="2"/>
      <x:c r="E120" s="2"/>
      <x:c r="F120" s="2"/>
      <x:c r="G120" s="2"/>
    </x:row>
    <x:row r="121">
      <x:c r="A121" s="2"/>
      <x:c r="B121" s="2"/>
      <x:c r="C121" s="2"/>
      <x:c r="D121" s="2"/>
      <x:c r="E121" s="2"/>
      <x:c r="F121" s="2"/>
      <x:c r="G121" s="2"/>
    </x:row>
    <x:row r="122">
      <x:c r="A122" s="2"/>
      <x:c r="B122" s="2"/>
      <x:c r="C122" s="2"/>
      <x:c r="D122" s="2"/>
      <x:c r="E122" s="2"/>
      <x:c r="F122" s="2"/>
      <x:c r="G122" s="2"/>
    </x:row>
    <x:row r="123">
      <x:c r="A123" s="2"/>
      <x:c r="B123" s="2"/>
      <x:c r="C123" s="2"/>
      <x:c r="D123" s="2"/>
      <x:c r="E123" s="2"/>
      <x:c r="F123" s="2"/>
      <x:c r="G123" s="2"/>
    </x:row>
    <x:row r="124">
      <x:c r="A124" s="2"/>
      <x:c r="B124" s="2"/>
      <x:c r="C124" s="2"/>
      <x:c r="D124" s="2"/>
      <x:c r="E124" s="2"/>
      <x:c r="F124" s="2"/>
      <x:c r="G124" s="2"/>
    </x:row>
    <x:row r="125">
      <x:c r="A125" s="2"/>
      <x:c r="B125" s="2"/>
      <x:c r="C125" s="2"/>
      <x:c r="D125" s="2"/>
      <x:c r="E125" s="2"/>
      <x:c r="F125" s="2"/>
      <x:c r="G125" s="2"/>
    </x:row>
    <x:row r="126">
      <x:c r="A126" s="2"/>
      <x:c r="B126" s="2"/>
      <x:c r="C126" s="2"/>
      <x:c r="D126" s="2"/>
      <x:c r="E126" s="2"/>
      <x:c r="F126" s="2"/>
      <x:c r="G126" s="2"/>
    </x:row>
    <x:row r="127">
      <x:c r="A127" s="2"/>
      <x:c r="B127" s="2"/>
      <x:c r="C127" s="2"/>
      <x:c r="D127" s="2"/>
      <x:c r="E127" s="2"/>
      <x:c r="F127" s="2"/>
      <x:c r="G127" s="2"/>
    </x:row>
    <x:row r="128">
      <x:c r="A128" s="2"/>
      <x:c r="B128" s="2"/>
      <x:c r="C128" s="2"/>
      <x:c r="D128" s="2"/>
      <x:c r="E128" s="2"/>
      <x:c r="F128" s="2"/>
      <x:c r="G128" s="2"/>
    </x:row>
    <x:row r="129">
      <x:c r="A129" s="2"/>
      <x:c r="B129" s="2"/>
      <x:c r="C129" s="2"/>
      <x:c r="D129" s="2"/>
      <x:c r="E129" s="2"/>
      <x:c r="F129" s="2"/>
      <x:c r="G129" s="2"/>
    </x:row>
    <x:row r="130">
      <x:c r="A130" s="2"/>
      <x:c r="B130" s="2"/>
      <x:c r="C130" s="2"/>
      <x:c r="D130" s="2"/>
      <x:c r="E130" s="2"/>
      <x:c r="F130" s="2"/>
      <x:c r="G130" s="2"/>
    </x:row>
    <x:row r="131">
      <x:c r="A131" s="2"/>
      <x:c r="B131" s="2"/>
      <x:c r="C131" s="2"/>
      <x:c r="D131" s="2"/>
      <x:c r="E131" s="2"/>
      <x:c r="F131" s="2"/>
      <x:c r="G131" s="2"/>
    </x:row>
    <x:row r="132">
      <x:c r="A132" s="2"/>
      <x:c r="B132" s="2"/>
      <x:c r="C132" s="2"/>
      <x:c r="D132" s="2"/>
      <x:c r="E132" s="2"/>
      <x:c r="F132" s="2"/>
      <x:c r="G132" s="2"/>
    </x:row>
    <x:row r="133">
      <x:c r="A133" s="2"/>
      <x:c r="B133" s="2"/>
      <x:c r="C133" s="2"/>
      <x:c r="D133" s="2"/>
      <x:c r="E133" s="2"/>
      <x:c r="F133" s="2"/>
      <x:c r="G133" s="2"/>
    </x:row>
    <x:row r="134">
      <x:c r="A134" s="2"/>
      <x:c r="B134" s="2"/>
      <x:c r="C134" s="2"/>
      <x:c r="D134" s="2"/>
      <x:c r="E134" s="2"/>
      <x:c r="F134" s="2"/>
      <x:c r="G134" s="2"/>
    </x:row>
    <x:row r="135">
      <x:c r="A135" s="2"/>
      <x:c r="B135" s="2"/>
      <x:c r="C135" s="2"/>
      <x:c r="D135" s="2"/>
      <x:c r="E135" s="2"/>
      <x:c r="F135" s="2"/>
      <x:c r="G135" s="2"/>
    </x:row>
    <x:row r="136">
      <x:c r="A136" s="2"/>
      <x:c r="B136" s="2"/>
      <x:c r="C136" s="2"/>
      <x:c r="D136" s="2"/>
      <x:c r="E136" s="2"/>
      <x:c r="F136" s="2"/>
      <x:c r="G136" s="2"/>
    </x:row>
    <x:row r="137">
      <x:c r="A137" s="2"/>
      <x:c r="B137" s="2"/>
      <x:c r="C137" s="2"/>
      <x:c r="D137" s="2"/>
      <x:c r="E137" s="2"/>
      <x:c r="F137" s="2"/>
      <x:c r="G137" s="2"/>
    </x:row>
    <x:row r="138">
      <x:c r="A138" s="2"/>
      <x:c r="B138" s="2"/>
      <x:c r="C138" s="2"/>
      <x:c r="D138" s="2"/>
      <x:c r="E138" s="2"/>
      <x:c r="F138" s="2"/>
      <x:c r="G138" s="2"/>
    </x:row>
    <x:row r="139">
      <x:c r="A139" s="2"/>
      <x:c r="B139" s="2"/>
      <x:c r="C139" s="2"/>
      <x:c r="D139" s="2"/>
      <x:c r="E139" s="2"/>
      <x:c r="F139" s="2"/>
      <x:c r="G139" s="2"/>
    </x:row>
    <x:row r="140">
      <x:c r="A140" s="2"/>
      <x:c r="B140" s="2"/>
      <x:c r="C140" s="2"/>
      <x:c r="D140" s="2"/>
      <x:c r="E140" s="2"/>
      <x:c r="F140" s="2"/>
      <x:c r="G140" s="2"/>
    </x:row>
    <x:row r="141">
      <x:c r="A141" s="2"/>
      <x:c r="B141" s="2"/>
      <x:c r="C141" s="2"/>
      <x:c r="D141" s="2"/>
      <x:c r="E141" s="2"/>
      <x:c r="F141" s="2"/>
      <x:c r="G141" s="2"/>
    </x:row>
    <x:row r="142">
      <x:c r="A142" s="2"/>
      <x:c r="B142" s="2"/>
      <x:c r="C142" s="2"/>
      <x:c r="D142" s="2"/>
      <x:c r="E142" s="2"/>
      <x:c r="F142" s="2"/>
      <x:c r="G142" s="2"/>
    </x:row>
    <x:row r="143">
      <x:c r="A143" s="2"/>
      <x:c r="B143" s="2"/>
      <x:c r="C143" s="2"/>
      <x:c r="D143" s="2"/>
      <x:c r="E143" s="2"/>
      <x:c r="F143" s="2"/>
      <x:c r="G143" s="2"/>
    </x:row>
    <x:row r="144">
      <x:c r="A144" s="2"/>
      <x:c r="B144" s="2"/>
      <x:c r="C144" s="2"/>
      <x:c r="D144" s="2"/>
      <x:c r="E144" s="2"/>
      <x:c r="F144" s="2"/>
      <x:c r="G144" s="2"/>
    </x:row>
    <x:row r="145">
      <x:c r="A145" s="2"/>
      <x:c r="B145" s="2"/>
      <x:c r="C145" s="2"/>
      <x:c r="D145" s="2"/>
      <x:c r="E145" s="2"/>
      <x:c r="F145" s="2"/>
      <x:c r="G145" s="2"/>
    </x:row>
    <x:row r="146">
      <x:c r="A146" s="2"/>
      <x:c r="B146" s="2"/>
      <x:c r="C146" s="2"/>
      <x:c r="D146" s="2"/>
      <x:c r="E146" s="2"/>
      <x:c r="F146" s="2"/>
      <x:c r="G146" s="2"/>
    </x:row>
    <x:row r="147">
      <x:c r="A147" s="2"/>
      <x:c r="B147" s="2"/>
      <x:c r="C147" s="2"/>
      <x:c r="D147" s="2"/>
      <x:c r="E147" s="2"/>
      <x:c r="F147" s="2"/>
      <x:c r="G147" s="2"/>
    </x:row>
    <x:row r="148">
      <x:c r="A148" s="2"/>
      <x:c r="B148" s="2"/>
      <x:c r="C148" s="2"/>
      <x:c r="D148" s="2"/>
      <x:c r="E148" s="2"/>
      <x:c r="F148" s="2"/>
      <x:c r="G148" s="2"/>
    </x:row>
    <x:row r="149">
      <x:c r="A149" s="2"/>
      <x:c r="B149" s="2"/>
      <x:c r="C149" s="2"/>
      <x:c r="D149" s="2"/>
      <x:c r="E149" s="2"/>
      <x:c r="F149" s="2"/>
      <x:c r="G149" s="2"/>
    </x:row>
    <x:row r="150">
      <x:c r="A150" s="2"/>
      <x:c r="B150" s="2"/>
      <x:c r="C150" s="2"/>
      <x:c r="D150" s="2"/>
      <x:c r="E150" s="2"/>
      <x:c r="F150" s="2"/>
      <x:c r="G15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0496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63" hidden="0" customWidth="1"/>
    <x:col min="8" max="8" width="4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극초반 제작법 제안</x:v>
      </x:c>
      <x:c r="B2" s="2"/>
      <x:c r="C2" s="2"/>
      <x:c r="D2" s="2"/>
      <x:c r="E2" s="2"/>
      <x:c r="F2" s="2"/>
      <x:c r="G2" s="2"/>
      <x:c r="H2" s="2"/>
    </x:row>
    <x:row r="3">
      <x:c r="A3" s="4" t="str">
        <x:v>전부 신규 제안. 게임 제작법 미변경. .은 빈 칸. 재료는 표기된 결과 수를 얻는 1회 제작 기준.</x:v>
      </x:c>
      <x:c r="B3" s="2"/>
      <x:c r="C3" s="2"/>
      <x:c r="D3" s="2"/>
      <x:c r="E3" s="2"/>
      <x:c r="F3" s="2"/>
      <x:c r="G3" s="2"/>
      <x:c r="H3" s="2"/>
    </x:row>
    <x:row r="4">
      <x:c r="A4" s="5"/>
      <x:c r="B4" s="5"/>
      <x:c r="C4" s="5"/>
      <x:c r="D4" s="5"/>
      <x:c r="E4" s="5"/>
      <x:c r="F4" s="5"/>
      <x:c r="G4" s="5"/>
      <x:c r="H4" s="5"/>
    </x:row>
    <x:row r="5" ht="32" customHeight="1">
      <x:c r="A5" s="9" t="str">
        <x:v>결과</x:v>
      </x:c>
      <x:c r="B5" s="9" t="str">
        <x:v>결과 수</x:v>
      </x:c>
      <x:c r="C5" s="9" t="str">
        <x:v>방식·단계</x:v>
      </x:c>
      <x:c r="D5" s="9" t="str">
        <x:v>상단</x:v>
      </x:c>
      <x:c r="E5" s="9" t="str">
        <x:v>중단</x:v>
      </x:c>
      <x:c r="F5" s="9" t="str">
        <x:v>하단</x:v>
      </x:c>
      <x:c r="G5" s="9" t="str">
        <x:v>재료와 수량</x:v>
      </x:c>
      <x:c r="H5" s="9" t="str">
        <x:v>의도·검토</x:v>
      </x:c>
    </x:row>
    <x:row r="6" ht="60" customHeight="1">
      <x:c r="A6" s="10" t="str">
        <x:v>화살 포탑</x:v>
      </x:c>
      <x:c r="B6" s="10" t="n">
        <x:v>1</x:v>
      </x:c>
      <x:c r="C6" s="10" t="str">
        <x:v>작업대</x:v>
      </x:c>
      <x:c r="D6" s="10" t="str">
        <x:v>SBS</x:v>
      </x:c>
      <x:c r="E6" s="10" t="str">
        <x:v>IRI</x:v>
      </x:c>
      <x:c r="F6" s="10" t="str">
        <x:v>CCC</x:v>
      </x:c>
      <x:c r="G6" s="10" t="str">
        <x:v>S 막대기×2 / B 활×1 / I 철 주괴×2 / R 레드스톤×1 / C 조약돌×3</x:v>
      </x:c>
      <x:c r="H6" s="10" t="str">
        <x:v>단일 표적 주력. 기존 기초 포탑을 대체.</x:v>
      </x:c>
    </x:row>
    <x:row r="7" ht="60" customHeight="1">
      <x:c r="A7" s="11" t="str">
        <x:v>투석 포탑</x:v>
      </x:c>
      <x:c r="B7" s="11" t="n">
        <x:v>1</x:v>
      </x:c>
      <x:c r="C7" s="11" t="str">
        <x:v>작업대</x:v>
      </x:c>
      <x:c r="D7" s="11" t="str">
        <x:v>SLS</x:v>
      </x:c>
      <x:c r="E7" s="11" t="str">
        <x:v>IPI</x:v>
      </x:c>
      <x:c r="F7" s="11" t="str">
        <x:v>CCC</x:v>
      </x:c>
      <x:c r="G7" s="11" t="str">
        <x:v>S 실×2 / L 원목×1 / I 철 주괴×2 / P 피스톤×1 / C 조약돌×3</x:v>
      </x:c>
      <x:c r="H7" s="11" t="str">
        <x:v>피스톤 제작비 포함 실질 철 3개.</x:v>
      </x:c>
    </x:row>
    <x:row r="8" ht="60" customHeight="1">
      <x:c r="A8" s="10" t="str">
        <x:v>화염 포탑</x:v>
      </x:c>
      <x:c r="B8" s="10" t="n">
        <x:v>1</x:v>
      </x:c>
      <x:c r="C8" s="10" t="str">
        <x:v>작업대</x:v>
      </x:c>
      <x:c r="D8" s="10" t="str">
        <x:v>ICI</x:v>
      </x:c>
      <x:c r="E8" s="10" t="str">
        <x:v>BFB</x:v>
      </x:c>
      <x:c r="F8" s="10" t="str">
        <x:v>CRC</x:v>
      </x:c>
      <x:c r="G8" s="10" t="str">
        <x:v>I 철 주괴×2 / C 구리 주괴×3 / B 양동이×2 / F 화로×1 / R 레드스톤×1</x:v>
      </x:c>
      <x:c r="H8" s="10" t="str">
        <x:v>양동이 포함 실질 철 8개. 근접 광역의 진입 비용.</x:v>
      </x:c>
    </x:row>
    <x:row r="9" ht="60" customHeight="1">
      <x:c r="A9" s="11" t="str">
        <x:v>방어 분석기</x:v>
      </x:c>
      <x:c r="B9" s="11" t="n">
        <x:v>1</x:v>
      </x:c>
      <x:c r="C9" s="11" t="str">
        <x:v>작업대</x:v>
      </x:c>
      <x:c r="D9" s="11" t="str">
        <x:v>.C.</x:v>
      </x:c>
      <x:c r="E9" s="11" t="str">
        <x:v>.R.</x:v>
      </x:c>
      <x:c r="F9" s="11" t="str">
        <x:v>.I.</x:v>
      </x:c>
      <x:c r="G9" s="11" t="str">
        <x:v>C 구리 주괴×1 / R 레드스톤×1 / I 철 주괴×1</x:v>
      </x:c>
      <x:c r="H9" s="11" t="str">
        <x:v>소모되지 않음. 각 포탑 우클릭 시 제안 15초 표시.</x:v>
      </x:c>
    </x:row>
    <x:row r="10" ht="60" customHeight="1">
      <x:c r="A10" s="10" t="str">
        <x:v>모듈 기판</x:v>
      </x:c>
      <x:c r="B10" s="10" t="n">
        <x:v>4</x:v>
      </x:c>
      <x:c r="C10" s="10" t="str">
        <x:v>작업대</x:v>
      </x:c>
      <x:c r="D10" s="10" t="str">
        <x:v>CIC</x:v>
      </x:c>
      <x:c r="E10" s="10" t="str">
        <x:v>.R.</x:v>
      </x:c>
      <x:c r="F10" s="10" t="str">
        <x:v>CIC</x:v>
      </x:c>
      <x:c r="G10" s="10" t="str">
        <x:v>C 구리 주괴×4 / I 철 주괴×2 / R 레드스톤×1</x:v>
      </x:c>
      <x:c r="H10" s="10" t="str">
        <x:v>공통 부품을 4개 생산. 신설 아이템 제안.</x:v>
      </x:c>
    </x:row>
    <x:row r="11" ht="60" customHeight="1">
      <x:c r="A11" s="11" t="str">
        <x:v>공격력 I</x:v>
      </x:c>
      <x:c r="B11" s="11" t="n">
        <x:v>1</x:v>
      </x:c>
      <x:c r="C11" s="11" t="str">
        <x:v>무형 조합</x:v>
      </x:c>
      <x:c r="D11" s="11" t="str"/>
      <x:c r="E11" s="11" t="str"/>
      <x:c r="F11" s="11" t="str"/>
      <x:c r="G11" s="11" t="str">
        <x:v>모듈 기판×1 / 철 주괴×2 / 부싯돌×2</x:v>
      </x:c>
      <x:c r="H11" s="11" t="str">
        <x:v>공격 부품 강화.</x:v>
      </x:c>
    </x:row>
    <x:row r="12" ht="60" customHeight="1">
      <x:c r="A12" s="10" t="str">
        <x:v>공격속도 I</x:v>
      </x:c>
      <x:c r="B12" s="10" t="n">
        <x:v>1</x:v>
      </x:c>
      <x:c r="C12" s="10" t="str">
        <x:v>무형 조합</x:v>
      </x:c>
      <x:c r="D12" s="10" t="str"/>
      <x:c r="E12" s="10" t="str"/>
      <x:c r="F12" s="10" t="str"/>
      <x:c r="G12" s="10" t="str">
        <x:v>모듈 기판×1 / 구리 주괴×2 / 레드스톤×2</x:v>
      </x:c>
      <x:c r="H12" s="10" t="str">
        <x:v>극초반에는 기름을 제작 재료로 요구하지 않음.</x:v>
      </x:c>
    </x:row>
    <x:row r="13" ht="60" customHeight="1">
      <x:c r="A13" s="11" t="str">
        <x:v>관통 I</x:v>
      </x:c>
      <x:c r="B13" s="11" t="n">
        <x:v>1</x:v>
      </x:c>
      <x:c r="C13" s="11" t="str">
        <x:v>무형 조합</x:v>
      </x:c>
      <x:c r="D13" s="11" t="str"/>
      <x:c r="E13" s="11" t="str"/>
      <x:c r="F13" s="11" t="str"/>
      <x:c r="G13" s="11" t="str">
        <x:v>모듈 기판×1 / 철 주괴×1 / 부싯돌×4</x:v>
      </x:c>
      <x:c r="H13" s="11" t="str">
        <x:v>화살 전용.</x:v>
      </x:c>
    </x:row>
    <x:row r="14" ht="60" customHeight="1">
      <x:c r="A14" s="10" t="str">
        <x:v>다중발사 I</x:v>
      </x:c>
      <x:c r="B14" s="10" t="n">
        <x:v>1</x:v>
      </x:c>
      <x:c r="C14" s="10" t="str">
        <x:v>무형 조합</x:v>
      </x:c>
      <x:c r="D14" s="10" t="str"/>
      <x:c r="E14" s="10" t="str"/>
      <x:c r="F14" s="10" t="str"/>
      <x:c r="G14" s="10" t="str">
        <x:v>모듈 기판×1 / 실×2 / 일반 화살×4</x:v>
      </x:c>
      <x:c r="H14" s="10" t="str">
        <x:v>화살 전용. 소모 탄약 증가가 실제 비용.</x:v>
      </x:c>
    </x:row>
    <x:row r="15" ht="60" customHeight="1">
      <x:c r="A15" s="11" t="str">
        <x:v>도탄 I</x:v>
      </x:c>
      <x:c r="B15" s="11" t="n">
        <x:v>1</x:v>
      </x:c>
      <x:c r="C15" s="11" t="str">
        <x:v>무형 조합</x:v>
      </x:c>
      <x:c r="D15" s="11" t="str"/>
      <x:c r="E15" s="11" t="str"/>
      <x:c r="F15" s="11" t="str"/>
      <x:c r="G15" s="11" t="str">
        <x:v>모듈 기판×1 / 슬라임볼×1 / 철 주괴×2</x:v>
      </x:c>
      <x:c r="H15" s="11" t="str">
        <x:v>슬라임 확보가 탐험 제약. 대체 재료 여부 검토.</x:v>
      </x:c>
    </x:row>
    <x:row r="16" ht="60" customHeight="1">
      <x:c r="A16" s="10" t="str">
        <x:v>조준속도 I</x:v>
      </x:c>
      <x:c r="B16" s="10" t="n">
        <x:v>1</x:v>
      </x:c>
      <x:c r="C16" s="10" t="str">
        <x:v>무형 조합</x:v>
      </x:c>
      <x:c r="D16" s="10" t="str"/>
      <x:c r="E16" s="10" t="str"/>
      <x:c r="F16" s="10" t="str"/>
      <x:c r="G16" s="10" t="str">
        <x:v>모듈 기판×1 / 레드스톤×2 / 실×2</x:v>
      </x:c>
      <x:c r="H16" s="10" t="str">
        <x:v>네더 재료를 요구하지 않음.</x:v>
      </x:c>
    </x:row>
    <x:row r="17" ht="60" customHeight="1">
      <x:c r="A17" s="11" t="str">
        <x:v>투석 사거리 I</x:v>
      </x:c>
      <x:c r="B17" s="11" t="n">
        <x:v>1</x:v>
      </x:c>
      <x:c r="C17" s="11" t="str">
        <x:v>무형 조합</x:v>
      </x:c>
      <x:c r="D17" s="11" t="str"/>
      <x:c r="E17" s="11" t="str"/>
      <x:c r="F17" s="11" t="str"/>
      <x:c r="G17" s="11" t="str">
        <x:v>모듈 기판×1 / 실×2 / 레드스톤×1</x:v>
      </x:c>
      <x:c r="H17" s="11" t="str">
        <x:v>장력·발사 제어 강화.</x:v>
      </x:c>
    </x:row>
    <x:row r="18" ht="60" customHeight="1">
      <x:c r="A18" s="10" t="str">
        <x:v>폭발 범위 I</x:v>
      </x:c>
      <x:c r="B18" s="10" t="n">
        <x:v>1</x:v>
      </x:c>
      <x:c r="C18" s="10" t="str">
        <x:v>무형 조합</x:v>
      </x:c>
      <x:c r="D18" s="10" t="str"/>
      <x:c r="E18" s="10" t="str"/>
      <x:c r="F18" s="10" t="str"/>
      <x:c r="G18" s="10" t="str">
        <x:v>모듈 기판×1 / 화약×2 / 석탄 또는 목탄×2</x:v>
      </x:c>
      <x:c r="H18" s="10" t="str">
        <x:v>네더 이전 몹 드롭으로 제작 가능.</x:v>
      </x:c>
    </x:row>
    <x:row r="19" ht="60" customHeight="1">
      <x:c r="A19" s="11" t="str">
        <x:v>집속탄 I</x:v>
      </x:c>
      <x:c r="B19" s="11" t="n">
        <x:v>1</x:v>
      </x:c>
      <x:c r="C19" s="11" t="str">
        <x:v>무형 조합</x:v>
      </x:c>
      <x:c r="D19" s="11" t="str"/>
      <x:c r="E19" s="11" t="str"/>
      <x:c r="F19" s="11" t="str"/>
      <x:c r="G19" s="11" t="str">
        <x:v>모듈 기판×1 / 화약×2 / 부싯돌×2</x:v>
      </x:c>
      <x:c r="H19" s="11" t="str">
        <x:v>본체 폭발 후 파편 폭발.</x:v>
      </x:c>
    </x:row>
    <x:row r="20" ht="60" customHeight="1">
      <x:c r="A20" s="10" t="str">
        <x:v>화염 사거리 I</x:v>
      </x:c>
      <x:c r="B20" s="10" t="n">
        <x:v>1</x:v>
      </x:c>
      <x:c r="C20" s="10" t="str">
        <x:v>무형 조합</x:v>
      </x:c>
      <x:c r="D20" s="10" t="str"/>
      <x:c r="E20" s="10" t="str"/>
      <x:c r="F20" s="10" t="str"/>
      <x:c r="G20" s="10" t="str">
        <x:v>모듈 기판×1 / 구리 주괴×2 / 유리×2</x:v>
      </x:c>
      <x:c r="H20" s="10" t="str">
        <x:v>사거리와 방사각을 함께 증가.</x:v>
      </x:c>
    </x:row>
    <x:row r="21" ht="60" customHeight="1">
      <x:c r="A21" s="11" t="str">
        <x:v>지속 피해 I</x:v>
      </x:c>
      <x:c r="B21" s="11" t="n">
        <x:v>1</x:v>
      </x:c>
      <x:c r="C21" s="11" t="str">
        <x:v>무형 조합</x:v>
      </x:c>
      <x:c r="D21" s="11" t="str"/>
      <x:c r="E21" s="11" t="str"/>
      <x:c r="F21" s="11" t="str"/>
      <x:c r="G21" s="11" t="str">
        <x:v>모듈 기판×1 / 석탄 또는 목탄×2 / 화약×1</x:v>
      </x:c>
      <x:c r="H21" s="11" t="str">
        <x:v>화상 피해 강화.</x:v>
      </x:c>
    </x:row>
    <x:row r="22" ht="60" customHeight="1">
      <x:c r="A22" s="10" t="str">
        <x:v>모듈 II 공통안</x:v>
      </x:c>
      <x:c r="B22" s="10" t="n">
        <x:v>1</x:v>
      </x:c>
      <x:c r="C22" s="10" t="str">
        <x:v>Create 단계</x:v>
      </x:c>
      <x:c r="D22" s="10" t="str"/>
      <x:c r="E22" s="10" t="str"/>
      <x:c r="F22" s="10" t="str"/>
      <x:c r="G22" s="10" t="str">
        <x:v>동종 모듈 I×1 + Create 가공 부품</x:v>
      </x:c>
      <x:c r="H22" s="10" t="str">
        <x:v>등급·단계만 확정. 정확한 재료와 제작 장치는 추후 결정.</x:v>
      </x:c>
    </x:row>
    <x:row r="23" ht="60" customHeight="1">
      <x:c r="A23" s="11" t="str">
        <x:v>모듈 III 공통안</x:v>
      </x:c>
      <x:c r="B23" s="11" t="n">
        <x:v>1</x:v>
      </x:c>
      <x:c r="C23" s="11" t="str">
        <x:v>이후 공학</x:v>
      </x:c>
      <x:c r="D23" s="11" t="str"/>
      <x:c r="E23" s="11" t="str"/>
      <x:c r="F23" s="11" t="str"/>
      <x:c r="G23" s="11" t="str">
        <x:v>동종 모듈 II×1 + 이후 공학 부품</x:v>
      </x:c>
      <x:c r="H23" s="11" t="str">
        <x:v>현재 구현 범위에서 정확한 레시피를 확정하지 않음.</x:v>
      </x:c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 t="str">
        <x:v>재료 선택 규칙</x:v>
      </x:c>
      <x:c r="B26" s="2"/>
      <x:c r="C26" s="2"/>
      <x:c r="D26" s="2"/>
      <x:c r="E26" s="2"/>
      <x:c r="F26" s="2"/>
      <x:c r="G26" s="2"/>
      <x:c r="H26" s="2"/>
    </x:row>
    <x:row r="27" ht="32" customHeight="1">
      <x:c r="A27" s="33" t="str">
        <x:v>구분</x:v>
      </x:c>
      <x:c r="B27" s="33" t="str">
        <x:v>표현</x:v>
      </x:c>
      <x:c r="C27"/>
      <x:c r="D27"/>
      <x:c r="E27"/>
      <x:c r="F27"/>
      <x:c r="G27" s="33" t="str">
        <x:v>범위</x:v>
      </x:c>
      <x:c r="H27" s="33" t="str">
        <x:v>상태</x:v>
      </x:c>
    </x:row>
    <x:row r="28" ht="60" customHeight="1">
      <x:c r="A28" s="34" t="str">
        <x:v>나무</x:v>
      </x:c>
      <x:c r="B28" s="34" t="str">
        <x:v>원목</x:v>
      </x:c>
      <x:c r="C28"/>
      <x:c r="D28"/>
      <x:c r="E28"/>
      <x:c r="F28"/>
      <x:c r="G28" s="34" t="str">
        <x:v>수종은 태그로 허용. 가공 판자와 구분.</x:v>
      </x:c>
      <x:c r="H28" s="34" t="str">
        <x:v>제안</x:v>
      </x:c>
    </x:row>
    <x:row r="29" ht="60" customHeight="1">
      <x:c r="A29" s="35" t="str">
        <x:v>석재 탄약</x:v>
      </x:c>
      <x:c r="B29" s="35" t="str">
        <x:v>일반 돌 태그</x:v>
      </x:c>
      <x:c r="C29"/>
      <x:c r="D29"/>
      <x:c r="E29"/>
      <x:c r="F29"/>
      <x:c r="G29" s="35" t="str">
        <x:v>돌·조약돌·화강암·섬록암·안산암·응회암·방해석·흑암·현무암·네더랙·엔드 돌. 가공품 제외.</x:v>
      </x:c>
      <x:c r="H29" s="35" t="str">
        <x:v>확정 범위</x:v>
      </x:c>
    </x:row>
    <x:row r="30" ht="60" customHeight="1">
      <x:c r="A30" s="34" t="str">
        <x:v>석재 탄약</x:v>
      </x:c>
      <x:c r="B30" s="34" t="str">
        <x:v>심층암 태그</x:v>
      </x:c>
      <x:c r="C30"/>
      <x:c r="D30"/>
      <x:c r="E30"/>
      <x:c r="F30"/>
      <x:c r="G30" s="34" t="str">
        <x:v>심층암·심층암 조약돌. 벽돌·반블록·계단 제외.</x:v>
      </x:c>
      <x:c r="H30" s="34" t="str">
        <x:v>확정</x:v>
      </x:c>
    </x:row>
    <x:row r="31" ht="60" customHeight="1">
      <x:c r="A31" s="35" t="str">
        <x:v>연료</x:v>
      </x:c>
      <x:c r="B31" s="35" t="str">
        <x:v>석탄·목탄</x:v>
      </x:c>
      <x:c r="C31"/>
      <x:c r="D31"/>
      <x:c r="E31"/>
      <x:c r="F31"/>
      <x:c r="G31" s="35" t="str">
        <x:v>동일 효율. 석탄 블록은 9개분. 다른 압축 연료는 지원 태그 추가 시 환산 지정.</x:v>
      </x:c>
      <x:c r="H31" s="35" t="str">
        <x:v>확정 / 환산 제안</x:v>
      </x:c>
    </x:row>
    <x:row r="32" ht="60" customHeight="1">
      <x:c r="A32" s="34" t="str">
        <x:v>기름</x:v>
      </x:c>
      <x:c r="B32" s="34" t="str">
        <x:v>Create 종자유</x:v>
      </x:c>
      <x:c r="C32"/>
      <x:c r="D32"/>
      <x:c r="E32"/>
      <x:c r="F32"/>
      <x:c r="G32" s="34" t="str">
        <x:v>포탑·모듈 제작에는 미사용. 화염 연료로만 사용.</x:v>
      </x:c>
      <x:c r="H32" s="34" t="str">
        <x:v>확정</x:v>
      </x:c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30496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4" hidden="0" customWidth="1"/>
    <x:col min="3" max="3" width="15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배치와 자원 소모</x:v>
      </x:c>
      <x:c r="B2" s="2"/>
      <x:c r="C2" s="2"/>
      <x:c r="D2" s="2"/>
      <x:c r="E2" s="2"/>
      <x:c r="F2" s="2"/>
      <x:c r="G2" s="2"/>
      <x:c r="H2" s="2"/>
    </x:row>
    <x:row r="3">
      <x:c r="A3" s="4" t="str">
        <x:v>예시 배치는 6대. 공격 가능 시간의 비율을 가동률로 입력. 계산은 투사체 빗나감과 대상 사망을 시뮬레이션하지 않음.</x:v>
      </x:c>
      <x:c r="B3" s="2"/>
      <x:c r="C3" s="2"/>
      <x:c r="D3" s="2"/>
      <x:c r="E3" s="2"/>
      <x:c r="F3" s="2"/>
      <x:c r="G3" s="2"/>
      <x:c r="H3" s="2"/>
    </x:row>
    <x:row r="4">
      <x:c r="A4" s="5"/>
      <x:c r="B4" s="5"/>
      <x:c r="C4" s="5"/>
      <x:c r="D4" s="5"/>
      <x:c r="E4" s="5"/>
      <x:c r="F4" s="5"/>
      <x:c r="G4" s="5"/>
      <x:c r="H4" s="5"/>
    </x:row>
    <x:row r="5" ht="32" customHeight="1">
      <x:c r="A5" s="9" t="str">
        <x:v>포탑</x:v>
      </x:c>
      <x:c r="B5" s="9" t="str">
        <x:v>대수</x:v>
      </x:c>
      <x:c r="C5" s="9" t="str">
        <x:v>가동률</x:v>
      </x:c>
      <x:c r="D5" s="9" t="str">
        <x:v>전투 시간(초)</x:v>
      </x:c>
      <x:c r="E5" s="9" t="str">
        <x:v>공격 횟수</x:v>
      </x:c>
      <x:c r="F5" s="9" t="str">
        <x:v>탄약 수</x:v>
      </x:c>
      <x:c r="G5" s="9" t="str">
        <x:v>연료 개수 환산</x:v>
      </x:c>
      <x:c r="H5" s="9" t="str">
        <x:v>종자유 mB</x:v>
      </x:c>
    </x:row>
    <x:row r="6" ht="36" customHeight="1">
      <x:c r="A6" s="10" t="str">
        <x:v>화살</x:v>
      </x:c>
      <x:c r="B6" s="18" t="n">
        <x:v>3</x:v>
      </x:c>
      <x:c r="C6" s="15" t="n">
        <x:v>0.5</x:v>
      </x:c>
      <x:c r="D6" s="18" t="n">
        <x:v>60</x:v>
      </x:c>
      <x:c r="E6" s="16" t="n">
        <x:f>B6*C6*D6/'밸런스 계산'!D6</x:f>
        <x:v>112.5</x:v>
      </x:c>
      <x:c r="F6" s="16" t="n">
        <x:f>B6*C6*D6/60*'밸런스 계산'!C13</x:f>
        <x:v>112.5</x:v>
      </x:c>
      <x:c r="G6" s="16" t="n">
        <x:f>B6*C6*D6/60*'밸런스 계산'!D13</x:f>
        <x:v>0</x:v>
      </x:c>
      <x:c r="H6" s="16" t="n">
        <x:f>B6*C6*D6/60*'밸런스 계산'!E13</x:f>
        <x:v>0</x:v>
      </x:c>
    </x:row>
    <x:row r="7" ht="36" customHeight="1">
      <x:c r="A7" s="11" t="str">
        <x:v>투석 일반</x:v>
      </x:c>
      <x:c r="B7" s="18" t="n">
        <x:v>2</x:v>
      </x:c>
      <x:c r="C7" s="15" t="n">
        <x:v>0.5</x:v>
      </x:c>
      <x:c r="D7" s="18" t="n">
        <x:v>60</x:v>
      </x:c>
      <x:c r="E7" s="16" t="n">
        <x:f>B7*C7*D7/'밸런스 계산'!D7</x:f>
        <x:v>20</x:v>
      </x:c>
      <x:c r="F7" s="16" t="n">
        <x:f>B7*C7*D7/60*'밸런스 계산'!C14</x:f>
        <x:v>20</x:v>
      </x:c>
      <x:c r="G7" s="16" t="n">
        <x:f>B7*C7*D7/60*'밸런스 계산'!D14</x:f>
        <x:v>2.5</x:v>
      </x:c>
      <x:c r="H7" s="16" t="n">
        <x:f>B7*C7*D7/60*'밸런스 계산'!E14</x:f>
        <x:v>0</x:v>
      </x:c>
    </x:row>
    <x:row r="8" ht="36" customHeight="1">
      <x:c r="A8" s="10" t="str">
        <x:v>투석 심층암</x:v>
      </x:c>
      <x:c r="B8" s="18" t="n">
        <x:v>0</x:v>
      </x:c>
      <x:c r="C8" s="15" t="n">
        <x:v>0.5</x:v>
      </x:c>
      <x:c r="D8" s="18" t="n">
        <x:v>60</x:v>
      </x:c>
      <x:c r="E8" s="16" t="n">
        <x:f>B8*C8*D8/'밸런스 계산'!D8</x:f>
        <x:v>0</x:v>
      </x:c>
      <x:c r="F8" s="16" t="n">
        <x:f>B8*C8*D8/60*'밸런스 계산'!C15</x:f>
        <x:v>0</x:v>
      </x:c>
      <x:c r="G8" s="16" t="n">
        <x:f>B8*C8*D8/60*'밸런스 계산'!D15</x:f>
        <x:v>0</x:v>
      </x:c>
      <x:c r="H8" s="16" t="n">
        <x:f>B8*C8*D8/60*'밸런스 계산'!E15</x:f>
        <x:v>0</x:v>
      </x:c>
    </x:row>
    <x:row r="9" ht="36" customHeight="1">
      <x:c r="A9" s="11" t="str">
        <x:v>화염</x:v>
      </x:c>
      <x:c r="B9" s="18" t="n">
        <x:v>1</x:v>
      </x:c>
      <x:c r="C9" s="15" t="n">
        <x:v>0.5</x:v>
      </x:c>
      <x:c r="D9" s="18" t="n">
        <x:v>60</x:v>
      </x:c>
      <x:c r="E9" s="16" t="n">
        <x:f>B9*C9*D9/'밸런스 계산'!D9</x:f>
        <x:v>20</x:v>
      </x:c>
      <x:c r="F9" s="16" t="n">
        <x:f>B9*C9*D9/60*'밸런스 계산'!C16</x:f>
        <x:v>0</x:v>
      </x:c>
      <x:c r="G9" s="16" t="n">
        <x:f>B9*C9*D9/60*'밸런스 계산'!D16</x:f>
        <x:v>0</x:v>
      </x:c>
      <x:c r="H9" s="16" t="n">
        <x:f>B9*C9*D9/60*'밸런스 계산'!E16</x:f>
        <x:v>400</x:v>
      </x:c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 t="str">
        <x:v>합계</x:v>
      </x:c>
      <x:c r="B11" s="29" t="n">
        <x:f>SUM(B6:B9)</x:f>
        <x:v>6</x:v>
      </x:c>
      <x:c r="C11" s="29"/>
      <x:c r="D11" s="29"/>
      <x:c r="E11" s="29" t="n">
        <x:f>SUM(E6:E9)</x:f>
        <x:v>152.5</x:v>
      </x:c>
      <x:c r="F11" s="29" t="n">
        <x:f>SUM(F6:F9)</x:f>
        <x:v>132.5</x:v>
      </x:c>
      <x:c r="G11" s="29" t="n">
        <x:f>SUM(G6:G9)</x:f>
        <x:v>2.5</x:v>
      </x:c>
      <x:c r="H11" s="29" t="n">
        <x:f>SUM(H6:H9)</x:f>
        <x:v>400</x:v>
      </x:c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 ht="32" customHeight="1">
      <x:c r="A14" s="9" t="str">
        <x:v>종자유 보급 지표</x:v>
      </x:c>
      <x:c r="B14" s="9" t="str">
        <x:v>수량</x:v>
      </x:c>
      <x:c r="C14" s="9" t="str">
        <x:v>단위</x:v>
      </x:c>
      <x:c r="D14" s="9" t="str">
        <x:v>정의</x:v>
      </x:c>
      <x:c r="E14" s="2"/>
      <x:c r="F14" s="2"/>
      <x:c r="G14" s="2"/>
      <x:c r="H14" s="2"/>
    </x:row>
    <x:row r="15" ht="55" customHeight="1">
      <x:c r="A15" s="10" t="str">
        <x:v>필요 종자유</x:v>
      </x:c>
      <x:c r="B15" s="16" t="n">
        <x:f>H11</x:f>
        <x:v>400</x:v>
      </x:c>
      <x:c r="C15" s="10" t="str">
        <x:v>mB</x:v>
      </x:c>
      <x:c r="D15" s="10" t="str">
        <x:v>전투 가동률과 화염 포탑 수를 반영.</x:v>
      </x:c>
      <x:c r="E15" s="2"/>
      <x:c r="F15" s="2"/>
      <x:c r="G15" s="2"/>
      <x:c r="H15" s="2"/>
    </x:row>
    <x:row r="16" ht="55" customHeight="1">
      <x:c r="A16" s="11" t="str">
        <x:v>수동 압착 배치</x:v>
      </x:c>
      <x:c r="B16" s="16" t="n">
        <x:f>ROUNDUP(B15/'기본 수치'!C37,0)</x:f>
        <x:v>2</x:v>
      </x:c>
      <x:c r="C16" s="11" t="str">
        <x:v>회</x:v>
      </x:c>
      <x:c r="D16" s="11" t="str">
        <x:v>필요량을 올림하여 병 단위로 생산.</x:v>
      </x:c>
      <x:c r="E16" s="2"/>
      <x:c r="F16" s="2"/>
      <x:c r="G16" s="2"/>
      <x:c r="H16" s="2"/>
    </x:row>
    <x:row r="17" ht="40" customHeight="1">
      <x:c r="A17" s="10" t="str">
        <x:v>수동 씨앗</x:v>
      </x:c>
      <x:c r="B17" s="16" t="n">
        <x:f>B16*'기본 수치'!C36</x:f>
        <x:v>20</x:v>
      </x:c>
      <x:c r="C17" s="10" t="str">
        <x:v>개</x:v>
      </x:c>
      <x:c r="D17" s="10" t="str">
        <x:v>배치당 씨앗 소모.</x:v>
      </x:c>
      <x:c r="E17" s="2"/>
      <x:c r="F17" s="2"/>
      <x:c r="G17" s="2"/>
      <x:c r="H17" s="2"/>
    </x:row>
    <x:row r="18" ht="40" customHeight="1">
      <x:c r="A18" s="11" t="str">
        <x:v>Create 씨앗</x:v>
      </x:c>
      <x:c r="B18" s="16" t="n">
        <x:f>ROUNDUP(B15/'기본 수치'!C38,0)</x:f>
        <x:v>4</x:v>
      </x:c>
      <x:c r="C18" s="11" t="str">
        <x:v>개</x:v>
      </x:c>
      <x:c r="D18" s="11" t="str">
        <x:v>기본 압착 레시피 기준 올림.</x:v>
      </x:c>
      <x:c r="E18" s="2"/>
      <x:c r="F18" s="2"/>
      <x:c r="G18" s="2"/>
      <x:c r="H18" s="2"/>
    </x:row>
    <x:row r="19" ht="40" customHeight="1">
      <x:c r="A19" s="10" t="str">
        <x:v>수동 생산 후 잔여</x:v>
      </x:c>
      <x:c r="B19" s="16" t="n">
        <x:f>B16*'기본 수치'!C37-B15</x:f>
        <x:v>100</x:v>
      </x:c>
      <x:c r="C19" s="10" t="str">
        <x:v>mB</x:v>
      </x:c>
      <x:c r="D19" s="10" t="str">
        <x:v>필요량을 넘긴 병 단위 잔량.</x:v>
      </x:c>
      <x:c r="E19" s="2"/>
      <x:c r="F19" s="2"/>
      <x:c r="G19" s="2"/>
      <x:c r="H19" s="2"/>
    </x:row>
    <x:row r="20" ht="40" customHeight="1">
      <x:c r="A20" s="11" t="str">
        <x:v>화염 탱크 1개 지속</x:v>
      </x:c>
      <x:c r="B20" s="16" t="n">
        <x:f>'기본 수치'!F30/'밸런스 계산'!E16*60</x:f>
        <x:v>675</x:v>
      </x:c>
      <x:c r="C20" s="11" t="str">
        <x:v>초</x:v>
      </x:c>
      <x:c r="D20" s="11" t="str">
        <x:v>한 포탑이 100% 가동할 때.</x:v>
      </x:c>
      <x:c r="E20" s="2"/>
      <x:c r="F20" s="2"/>
      <x:c r="G20" s="2"/>
      <x:c r="H20" s="2"/>
    </x:row>
    <x:row r="21" ht="40" customHeight="1">
      <x:c r="A21" s="10" t="str">
        <x:v>250mB병 완전 분사</x:v>
      </x:c>
      <x:c r="B21" s="16" t="n">
        <x:f>INT('기본 수치'!C39/'밸런스 계산'!H16)</x:f>
        <x:v>12</x:v>
      </x:c>
      <x:c r="C21" s="10" t="str">
        <x:v>회</x:v>
      </x:c>
      <x:c r="D21" s="10" t="str">
        <x:v>일부 분사분은 제외.</x:v>
      </x:c>
      <x:c r="E21" s="2"/>
      <x:c r="F21" s="2"/>
      <x:c r="G21" s="2"/>
      <x:c r="H21" s="2"/>
    </x:row>
    <x:row r="22" ht="40" customHeight="1">
      <x:c r="A22" s="11" t="str">
        <x:v>250mB병 잔여 기름</x:v>
      </x:c>
      <x:c r="B22" s="16" t="n">
        <x:f>'기본 수치'!C39-B21*'밸런스 계산'!H16</x:f>
        <x:v>10</x:v>
      </x:c>
      <x:c r="C22" s="11" t="str">
        <x:v>mB</x:v>
      </x:c>
      <x:c r="D22" s="11" t="str">
        <x:v>완전 분사 횟수 계산 후 잔량.</x:v>
      </x:c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 t="str">
        <x:v>공격 횟수는 장기 평균치. 전투 시작 시 선장전·틱 반올림으로 실제 횟수는 달라질 수 있음.</x:v>
      </x:c>
      <x:c r="B25" s="2"/>
      <x:c r="C25" s="2"/>
      <x:c r="D25" s="2"/>
      <x:c r="E25" s="2"/>
      <x:c r="F25" s="2"/>
      <x:c r="G25" s="2"/>
      <x:c r="H25" s="2"/>
    </x:row>
    <x:row r="26">
      <x:c r="A26" s="2" t="str">
        <x:v>증폭 사용 시 밸런스 계산 탭에서 선택. 다중발사 탄약 증가는 이 배치 표에 포함하지 않음.</x:v>
      </x:c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30496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91" hidden="0" customWidth="1"/>
  </x:cols>
  <x:sheetData>
    <x:row r="1">
      <x:c r="A1" s="2"/>
      <x:c r="B1" s="2"/>
      <x:c r="C1" s="2"/>
    </x:row>
    <x:row r="2">
      <x:c r="A2" s="3" t="str">
        <x:v>포탑 시스템 확정 규칙</x:v>
      </x:c>
      <x:c r="B2" s="2"/>
      <x:c r="C2" s="2"/>
    </x:row>
    <x:row r="3">
      <x:c r="A3" s="4" t="str">
        <x:v>출처: 사용자 77개 답변 및 후속 13개 답변. 수치 제안과 달리 아래 동작 규칙은 확정 사항.</x:v>
      </x:c>
      <x:c r="B3" s="2"/>
      <x:c r="C3" s="2"/>
    </x:row>
    <x:row r="4">
      <x:c r="A4" s="5"/>
      <x:c r="B4" s="5"/>
      <x:c r="C4" s="5"/>
    </x:row>
    <x:row r="5" ht="32" customHeight="1">
      <x:c r="A5" s="9" t="str">
        <x:v>분류</x:v>
      </x:c>
      <x:c r="B5" s="9" t="str">
        <x:v>항목</x:v>
      </x:c>
      <x:c r="C5" s="9" t="str">
        <x:v>확정 내용</x:v>
      </x:c>
    </x:row>
    <x:row r="6" ht="55" customHeight="1">
      <x:c r="A6" s="10" t="str">
        <x:v>구조</x:v>
      </x:c>
      <x:c r="B6" s="10" t="str">
        <x:v>포탑 종류</x:v>
      </x:c>
      <x:c r="C6" s="10" t="str">
        <x:v>화살·투석·화염 3종. 모두 Create 이전 제작 가능. 다음 티어 업그레이드는 추후, 자체 레벨 없음.</x:v>
      </x:c>
    </x:row>
    <x:row r="7" ht="55" customHeight="1">
      <x:c r="A7" s="11" t="str">
        <x:v>구조</x:v>
      </x:c>
      <x:c r="B7" s="11" t="str">
        <x:v>모듈</x:v>
      </x:c>
      <x:c r="C7" s="11" t="str">
        <x:v>공통 슬롯 2칸. 칸당 1개, 같은 모듈 중복 가능. 상위 등급 존재. 보너스 합산.</x:v>
      </x:c>
    </x:row>
    <x:row r="8" ht="55" customHeight="1">
      <x:c r="A8" s="10" t="str">
        <x:v>구조</x:v>
      </x:c>
      <x:c r="B8" s="10" t="str">
        <x:v>회수</x:v>
      </x:c>
      <x:c r="C8" s="10" t="str">
        <x:v>포탑 아이템에 탄약·모듈·유체·설정 보존. 재설치로 공격 대기시간 우회 금지.</x:v>
      </x:c>
    </x:row>
    <x:row r="9" ht="55" customHeight="1">
      <x:c r="A9" s="11" t="str">
        <x:v>구조</x:v>
      </x:c>
      <x:c r="B9" s="11" t="str">
        <x:v>설치</x:v>
      </x:c>
      <x:c r="C9" s="11" t="str">
        <x:v>디펜스 차원 내부만. 내부가 성벽 안쪽을 뜻하는지는 검토 항목에 별도 표시.</x:v>
      </x:c>
    </x:row>
    <x:row r="10" ht="55" customHeight="1">
      <x:c r="A10" s="10" t="str">
        <x:v>전투</x:v>
      </x:c>
      <x:c r="B10" s="10" t="str">
        <x:v>대상</x:v>
      </x:c>
      <x:c r="C10" s="10" t="str">
        <x:v>웨이브 적·관리자 소환 적·더미. 일반 적대 몹은 기본 대상에 포함하지 않음.</x:v>
      </x:c>
    </x:row>
    <x:row r="11" ht="55" customHeight="1">
      <x:c r="A11" s="11" t="str">
        <x:v>전투</x:v>
      </x:c>
      <x:c r="B11" s="11" t="str">
        <x:v>우선순위</x:v>
      </x:c>
      <x:c r="C11" s="11" t="str">
        <x:v>UI에서 선택. 기본 성벽에 가장 가까운 적. 거리·체력 우선순위 지원.</x:v>
      </x:c>
    </x:row>
    <x:row r="12" ht="55" customHeight="1">
      <x:c r="A12" s="10" t="str">
        <x:v>전투</x:v>
      </x:c>
      <x:c r="B12" s="10" t="str">
        <x:v>표적 유지</x:v>
      </x:c>
      <x:c r="C12" s="10" t="str">
        <x:v>죽거나 유효 조건을 벗어날 때까지 유지 / 공격마다 재선정 중 UI 선택.</x:v>
      </x:c>
    </x:row>
    <x:row r="13" ht="55" customHeight="1">
      <x:c r="A13" s="11" t="str">
        <x:v>전투</x:v>
      </x:c>
      <x:c r="B13" s="11" t="str">
        <x:v>독립성</x:v>
      </x:c>
      <x:c r="C13" s="11" t="str">
        <x:v>포탑별 독립 공격. 다른 포탑의 예상 피해로 표적을 예약하지 않음.</x:v>
      </x:c>
    </x:row>
    <x:row r="14" ht="55" customHeight="1">
      <x:c r="A14" s="10" t="str">
        <x:v>전투</x:v>
      </x:c>
      <x:c r="B14" s="10" t="str">
        <x:v>피해 판정</x:v>
      </x:c>
      <x:c r="C14" s="10" t="str">
        <x:v>방어력·보호 효과 적용. 적끼리 피해 없음. 플레이어·아군 피해 없음 및 투사체 통과.</x:v>
      </x:c>
    </x:row>
    <x:row r="15" ht="55" customHeight="1">
      <x:c r="A15" s="11" t="str">
        <x:v>전투</x:v>
      </x:c>
      <x:c r="B15" s="11" t="str">
        <x:v>환경</x:v>
      </x:c>
      <x:c r="C15" s="11" t="str">
        <x:v>지형·건물·포탑 파괴와 불 번짐 없음. 실제 공격 경로로 타격 가능 여부 확인.</x:v>
      </x:c>
    </x:row>
    <x:row r="16" ht="55" customHeight="1">
      <x:c r="A16" s="10" t="str">
        <x:v>전투</x:v>
      </x:c>
      <x:c r="B16" s="10" t="str">
        <x:v>레드스톤</x:v>
      </x:c>
      <x:c r="C16" s="10" t="str">
        <x:v>항상 / 신호 있을 때 / 신호 없을 때 작동을 UI에서 선택.</x:v>
      </x:c>
    </x:row>
    <x:row r="17" ht="55" customHeight="1">
      <x:c r="A17" s="11" t="str">
        <x:v>전투</x:v>
      </x:c>
      <x:c r="B17" s="11" t="str">
        <x:v>준비</x:v>
      </x:c>
      <x:c r="C17" s="11" t="str">
        <x:v>화살·투석은 표적이 없어도 미리 장전. 화염은 공격할 때만 기름 소비.</x:v>
      </x:c>
    </x:row>
    <x:row r="18" ht="55" customHeight="1">
      <x:c r="A18" s="10" t="str">
        <x:v>모듈</x:v>
      </x:c>
      <x:c r="B18" s="10" t="str">
        <x:v>교체</x:v>
      </x:c>
      <x:c r="C18" s="10" t="str">
        <x:v>전투 중 교체 가능. 교체 시 진행 중 장전 초기화. 발사체는 발사 시점 능력치 유지.</x:v>
      </x:c>
    </x:row>
    <x:row r="19" ht="55" customHeight="1">
      <x:c r="A19" s="11" t="str">
        <x:v>모듈</x:v>
      </x:c>
      <x:c r="B19" s="11" t="str">
        <x:v>단계</x:v>
      </x:c>
      <x:c r="C19" s="11" t="str">
        <x:v>I 극초반, II Create, III 이후 공학. 모듈 조합 제한 없음.</x:v>
      </x:c>
    </x:row>
    <x:row r="20" ht="55" customHeight="1">
      <x:c r="A20" s="10" t="str">
        <x:v>화살</x:v>
      </x:c>
      <x:c r="B20" s="10" t="str">
        <x:v>탄약</x:v>
      </x:c>
      <x:c r="C20" s="10" t="str">
        <x:v>일반·물약·분광 화살. 모든 바닐라 효과와 회복 화살의 언데드 특성 유지.</x:v>
      </x:c>
    </x:row>
    <x:row r="21" ht="55" customHeight="1">
      <x:c r="A21" s="11" t="str">
        <x:v>화살</x:v>
      </x:c>
      <x:c r="B21" s="11" t="str">
        <x:v>탄약 순서</x:v>
      </x:c>
      <x:c r="C21" s="11" t="str">
        <x:v>슬롯 순서 소비. 한 번의 다중발사에 서로 다른 화살을 섞어 사용 가능.</x:v>
      </x:c>
    </x:row>
    <x:row r="22" ht="55" customHeight="1">
      <x:c r="A22" s="10" t="str">
        <x:v>화살</x:v>
      </x:c>
      <x:c r="B22" s="10" t="str">
        <x:v>다중발사</x:v>
      </x:c>
      <x:c r="C22" s="10" t="str">
        <x:v>동시에 서로 다른 적에게 한 발씩. 적 1체면 1발. 실제 발사 수만큼 탄약 소비.</x:v>
      </x:c>
    </x:row>
    <x:row r="23" ht="55" customHeight="1">
      <x:c r="A23" s="11" t="str">
        <x:v>화살</x:v>
      </x:c>
      <x:c r="B23" s="11" t="str">
        <x:v>관통</x:v>
      </x:c>
      <x:c r="C23" s="11" t="str">
        <x:v>몬스터 추가 관통. 블록·방어력 관통 아님. 관통 시 직접 피해 감소, 특수 효과 유지.</x:v>
      </x:c>
    </x:row>
    <x:row r="24" ht="55" customHeight="1">
      <x:c r="A24" s="10" t="str">
        <x:v>화살</x:v>
      </x:c>
      <x:c r="B24" s="10" t="str">
        <x:v>도탄 결합</x:v>
      </x:c>
      <x:c r="C24" s="10" t="str">
        <x:v>관통의 마지막 예정 적중에서만 도탄 시작. 그 적중이 빗나가면 도탄 없음. 도탄은 관통 횟수 재획득 안 함.</x:v>
      </x:c>
    </x:row>
    <x:row r="25" ht="55" customHeight="1">
      <x:c r="A25" s="11" t="str">
        <x:v>화살</x:v>
      </x:c>
      <x:c r="B25" s="11" t="str">
        <x:v>오발</x:v>
      </x:c>
      <x:c r="C25" s="11" t="str">
        <x:v>개별 화살의 추가 오차. 다른 적에 맞으면 정상 피해·특수 효과. 발사 화살 회수 불가.</x:v>
      </x:c>
    </x:row>
    <x:row r="26" ht="55" customHeight="1">
      <x:c r="A26" s="10" t="str">
        <x:v>화살</x:v>
      </x:c>
      <x:c r="B26" s="10" t="str">
        <x:v>추적</x:v>
      </x:c>
      <x:c r="C26" s="10" t="str">
        <x:v>이동 예측, 유도 없음. 조준속도 모듈은 오발 확률을 바꾸지 않음.</x:v>
      </x:c>
    </x:row>
    <x:row r="27" ht="55" customHeight="1">
      <x:c r="A27" s="11" t="str">
        <x:v>투석</x:v>
      </x:c>
      <x:c r="B27" s="11" t="str">
        <x:v>재료</x:v>
      </x:c>
      <x:c r="C27" s="11" t="str">
        <x:v>돌 8칸, 연료 1칸. 일반 돌은 태그로 지정. 가공 석재·계단·반블록 제외.</x:v>
      </x:c>
    </x:row>
    <x:row r="28" ht="55" customHeight="1">
      <x:c r="A28" s="10" t="str">
        <x:v>투석</x:v>
      </x:c>
      <x:c r="B28" s="10" t="str">
        <x:v>심층암</x:v>
      </x:c>
      <x:c r="C28" s="10" t="str">
        <x:v>일반 돌보다 피해·폭발 반경 증가, 사거리 감소.</x:v>
      </x:c>
    </x:row>
    <x:row r="29" ht="55" customHeight="1">
      <x:c r="A29" s="11" t="str">
        <x:v>투석</x:v>
      </x:c>
      <x:c r="B29" s="11" t="str">
        <x:v>탄도</x:v>
      </x:c>
      <x:c r="C29" s="11" t="str">
        <x:v>느린 포물선. 빠른 적도 발사 대상이 될 수 있으나 피할 수 있음. 최소 사거리 없음.</x:v>
      </x:c>
    </x:row>
    <x:row r="30" ht="55" customHeight="1">
      <x:c r="A30" s="10" t="str">
        <x:v>투석</x:v>
      </x:c>
      <x:c r="B30" s="10" t="str">
        <x:v>폭발</x:v>
      </x:c>
      <x:c r="C30" s="10" t="str">
        <x:v>거리별 피해 감소, 직격 추가 피해, 일반 블록 차폐.</x:v>
      </x:c>
    </x:row>
    <x:row r="31" ht="55" customHeight="1">
      <x:c r="A31" s="11" t="str">
        <x:v>투석</x:v>
      </x:c>
      <x:c r="B31" s="11" t="str">
        <x:v>집속탄</x:v>
      </x:c>
      <x:c r="C31" s="11" t="str">
        <x:v>착탄·본체 폭발 후 파편이 튀어 작은 폭발 발생.</x:v>
      </x:c>
    </x:row>
    <x:row r="32" ht="55" customHeight="1">
      <x:c r="A32" s="10" t="str">
        <x:v>증폭</x:v>
      </x:c>
      <x:c r="B32" s="10" t="str">
        <x:v>활성 종류</x:v>
      </x:c>
      <x:c r="C32" s="10" t="str">
        <x:v>동시에 한 종류만 사용. 아이템 슬롯 최대 1칸, 유체 탱크 최대 1000mB 1개.</x:v>
      </x:c>
    </x:row>
    <x:row r="33" ht="55" customHeight="1">
      <x:c r="A33" s="11" t="str">
        <x:v>증폭</x:v>
      </x:c>
      <x:c r="B33" s="11" t="str">
        <x:v>투석 소비</x:v>
      </x:c>
      <x:c r="C33" s="11" t="str">
        <x:v>발수 기준. 블레이즈 가루 공속 / 화약 피해·탄속·사거리 증가.</x:v>
      </x:c>
    </x:row>
    <x:row r="34" ht="55" customHeight="1">
      <x:c r="A34" s="10" t="str">
        <x:v>증폭</x:v>
      </x:c>
      <x:c r="B34" s="10" t="str">
        <x:v>고갈</x:v>
      </x:c>
      <x:c r="C34" s="10" t="str">
        <x:v>기본 공격으로 전환. 증폭제 없으면 정지 옵션 제공. 사용하던 증폭 고갈은 외부 표시.</x:v>
      </x:c>
    </x:row>
    <x:row r="35" ht="55" customHeight="1">
      <x:c r="A35" s="11" t="str">
        <x:v>화염</x:v>
      </x:c>
      <x:c r="B35" s="11" t="str">
        <x:v>형태</x:v>
      </x:c>
      <x:c r="C35" s="11" t="str">
        <x:v>적 방향으로 즉시 향하는 부채꼴. 짧게 분사하고 휴지. 방사각 상한 360도.</x:v>
      </x:c>
    </x:row>
    <x:row r="36" ht="55" customHeight="1">
      <x:c r="A36" s="10" t="str">
        <x:v>화염</x:v>
      </x:c>
      <x:c r="B36" s="10" t="str">
        <x:v>기름</x:v>
      </x:c>
      <x:c r="C36" s="10" t="str">
        <x:v>종자유 9000mB. 실제 분사 시간에 비례해 소비. 용기 투입·회수 슬롯 제공.</x:v>
      </x:c>
    </x:row>
    <x:row r="37" ht="55" customHeight="1">
      <x:c r="A37" s="11" t="str">
        <x:v>화염</x:v>
      </x:c>
      <x:c r="B37" s="11" t="str">
        <x:v>화상</x:v>
      </x:c>
      <x:c r="C37" s="11" t="str">
        <x:v>직접 분사는 각각 적용. 서로 다른 포탑 화상 중첩, 같은 포탑은 지속시간 갱신.</x:v>
      </x:c>
    </x:row>
    <x:row r="38" ht="55" customHeight="1">
      <x:c r="A38" s="10" t="str">
        <x:v>화염</x:v>
      </x:c>
      <x:c r="B38" s="10" t="str">
        <x:v>보너스</x:v>
      </x:c>
      <x:c r="C38" s="10" t="str">
        <x:v>공통 공격력은 직접 피해·화상·집속 파편에 적용. 지속 피해 모듈은 화상만 강화.</x:v>
      </x:c>
    </x:row>
    <x:row r="39" ht="55" customHeight="1">
      <x:c r="A39" s="11" t="str">
        <x:v>화염</x:v>
      </x:c>
      <x:c r="B39" s="11" t="str">
        <x:v>공속</x:v>
      </x:c>
      <x:c r="C39" s="11" t="str">
        <x:v>분사 시간 유지, 휴지 시간 단축. 초당 연료 소비 증가.</x:v>
      </x:c>
    </x:row>
    <x:row r="40" ht="55" customHeight="1">
      <x:c r="A40" s="10" t="str">
        <x:v>화염</x:v>
      </x:c>
      <x:c r="B40" s="10" t="str">
        <x:v>면역</x:v>
      </x:c>
      <x:c r="C40" s="10" t="str">
        <x:v>불 면역·화염 저항 대상은 직접 분사와 화상 모두 피해 없음.</x:v>
      </x:c>
    </x:row>
    <x:row r="41" ht="55" customHeight="1">
      <x:c r="A41" s="11" t="str">
        <x:v>화염</x:v>
      </x:c>
      <x:c r="B41" s="11" t="str">
        <x:v>용암</x:v>
      </x:c>
      <x:c r="C41" s="11" t="str">
        <x:v>별도 탱크, 분사 중 함께 소비. 없으면 일반 공격 또는 설정에 따라 정지.</x:v>
      </x:c>
    </x:row>
    <x:row r="42" ht="55" customHeight="1">
      <x:c r="A42" s="10" t="str">
        <x:v>UI</x:v>
      </x:c>
      <x:c r="B42" s="10" t="str">
        <x:v>조작</x:v>
      </x:c>
      <x:c r="C42" s="10" t="str">
        <x:v>우클릭 UI, 웅크려 우클릭 빠른 투입. 모든 플레이어 조작 가능.</x:v>
      </x:c>
    </x:row>
    <x:row r="43" ht="55" customHeight="1">
      <x:c r="A43" s="11" t="str">
        <x:v>UI</x:v>
      </x:c>
      <x:c r="B43" s="11" t="str">
        <x:v>내용</x:v>
      </x:c>
      <x:c r="C43" s="11" t="str">
        <x:v>운용·모듈·설정 탭. 실효 능력치와 계산 내역, 현재 표적, 장전·분사·정지 이유, 이론 및 최근 실제 DPS.</x:v>
      </x:c>
    </x:row>
    <x:row r="44" ht="55" customHeight="1">
      <x:c r="A44" s="10" t="str">
        <x:v>UI</x:v>
      </x:c>
      <x:c r="B44" s="10" t="str">
        <x:v>외부 표시</x:v>
      </x:c>
      <x:c r="C44" s="10" t="str">
        <x:v>필수 자원 부족, 사용하던 증폭제 고갈을 UI 없이 식별. 색상과 원인 아이콘 병행.</x:v>
      </x:c>
    </x:row>
    <x:row r="45" ht="55" customHeight="1">
      <x:c r="A45" s="11" t="str">
        <x:v>UI</x:v>
      </x:c>
      <x:c r="B45" s="11" t="str">
        <x:v>범위 도구</x:v>
      </x:c>
      <x:c r="C45" s="11" t="str">
        <x:v>도구로 우클릭한 포탑만 일정 시간 표시. 여러 포탑을 클릭하면 각각 독립적으로 표시.</x:v>
      </x:c>
    </x:row>
    <x:row r="46" ht="55" customHeight="1">
      <x:c r="A46" s="10" t="str">
        <x:v>자동화</x:v>
      </x:c>
      <x:c r="B46" s="10" t="str">
        <x:v>기본 상태</x:v>
      </x:c>
      <x:c r="C46" s="10" t="str">
        <x:v>모든 면 차단. UI에서 면마다 입력·출력·양방향·차단 지정.</x:v>
      </x:c>
    </x:row>
    <x:row r="47" ht="55" customHeight="1">
      <x:c r="A47" s="11" t="str">
        <x:v>자동화</x:v>
      </x:c>
      <x:c r="B47" s="11" t="str">
        <x:v>출력 제한</x:v>
      </x:c>
      <x:c r="C47" s="11" t="str">
        <x:v>빈 병·빈 양동이·부산물만 자동 출력. 원료·탄약·연료·모듈 자동 추출 금지.</x:v>
      </x:c>
    </x:row>
    <x:row r="48" ht="55" customHeight="1">
      <x:c r="A48" s="10" t="str">
        <x:v>자동화</x:v>
      </x:c>
      <x:c r="B48" s="10" t="str">
        <x:v>유체</x:v>
      </x:c>
      <x:c r="C48" s="10" t="str">
        <x:v>종자유·용암 파이프 입력만 허용. 직접 유체 추출 금지. UI 수동 회수 지원.</x:v>
      </x:c>
    </x:row>
    <x:row r="49" ht="55" customHeight="1">
      <x:c r="A49" s="11" t="str">
        <x:v>자동화</x:v>
      </x:c>
      <x:c r="B49" s="11" t="str">
        <x:v>목표 재고</x:v>
      </x:c>
      <x:c r="C49" s="11" t="str">
        <x:v>별도 아이템 필터 없음. 품목 역할별 입력 목표량까지 받는 기능 제공.</x:v>
      </x:c>
    </x:row>
    <x:row r="50" ht="55" customHeight="1">
      <x:c r="A50" s="10" t="str">
        <x:v>자동화</x:v>
      </x:c>
      <x:c r="B50" s="10" t="str">
        <x:v>용기</x:v>
      </x:c>
      <x:c r="C50" s="10" t="str">
        <x:v>유리병·양동이 자동 비우기. 출력 칸이 가득 차면 비우기만 정지, 기존 연료로 공격 계속.</x:v>
      </x:c>
    </x:row>
    <x:row r="51" ht="55" customHeight="1">
      <x:c r="A51" s="11" t="str">
        <x:v>자동화</x:v>
      </x:c>
      <x:c r="B51" s="11" t="str">
        <x:v>부분 주입</x:v>
      </x:c>
      <x:c r="C51" s="11" t="str">
        <x:v>용기는 전량 수용 가능할 때만 비움. 파이프는 남은 공간만큼 입력.</x:v>
      </x:c>
    </x:row>
    <x:row r="52" ht="55" customHeight="1">
      <x:c r="A52" s="10" t="str">
        <x:v>이전</x:v>
      </x:c>
      <x:c r="B52" s="10" t="str">
        <x:v>기존 포탑</x:v>
      </x:c>
      <x:c r="C52" s="10" t="str">
        <x:v>기존 기초 포탑을 새 화살 포탑으로 전환. 기존 블록 ID·탄약 유지.</x:v>
      </x:c>
    </x:row>
    <x:row r="53">
      <x:c r="A53" s="2"/>
      <x:c r="B53" s="2"/>
      <x:c r="C53" s="2"/>
    </x:row>
    <x:row r="54">
      <x:c r="A54" s="2"/>
      <x:c r="B54" s="2"/>
      <x:c r="C54" s="2"/>
    </x:row>
    <x:row r="55">
      <x:c r="A55" s="2"/>
      <x:c r="B55" s="2"/>
      <x:c r="C55" s="2"/>
    </x:row>
    <x:row r="56">
      <x:c r="A56" s="2"/>
      <x:c r="B56" s="2"/>
      <x:c r="C56" s="2"/>
    </x:row>
    <x:row r="57">
      <x:c r="A57" s="2"/>
      <x:c r="B57" s="2"/>
      <x:c r="C57" s="2"/>
    </x:row>
    <x:row r="58">
      <x:c r="A58" s="2"/>
      <x:c r="B58" s="2"/>
      <x:c r="C58" s="2"/>
    </x:row>
    <x:row r="59">
      <x:c r="A59" s="2"/>
      <x:c r="B59" s="2"/>
      <x:c r="C59" s="2"/>
    </x:row>
    <x:row r="60">
      <x:c r="A60" s="2"/>
      <x:c r="B60" s="2"/>
      <x:c r="C60" s="2"/>
    </x:row>
    <x:row r="61">
      <x:c r="A61" s="2"/>
      <x:c r="B61" s="2"/>
      <x:c r="C61" s="2"/>
    </x:row>
    <x:row r="62">
      <x:c r="A62" s="2"/>
      <x:c r="B62" s="2"/>
      <x:c r="C62" s="2"/>
    </x:row>
    <x:row r="63">
      <x:c r="A63" s="2"/>
      <x:c r="B63" s="2"/>
      <x:c r="C63" s="2"/>
    </x:row>
    <x:row r="64">
      <x:c r="A64" s="2"/>
      <x:c r="B64" s="2"/>
      <x:c r="C64" s="2"/>
    </x:row>
    <x:row r="65">
      <x:c r="A65" s="2"/>
      <x:c r="B65" s="2"/>
      <x:c r="C65" s="2"/>
    </x:row>
    <x:row r="66">
      <x:c r="A66" s="2"/>
      <x:c r="B66" s="2"/>
      <x:c r="C66" s="2"/>
    </x:row>
    <x:row r="67">
      <x:c r="A67" s="2"/>
      <x:c r="B67" s="2"/>
      <x:c r="C67" s="2"/>
    </x:row>
    <x:row r="68">
      <x:c r="A68" s="2"/>
      <x:c r="B68" s="2"/>
      <x:c r="C68" s="2"/>
    </x:row>
    <x:row r="69">
      <x:c r="A69" s="2"/>
      <x:c r="B69" s="2"/>
      <x:c r="C69" s="2"/>
    </x:row>
    <x:row r="70">
      <x:c r="A70" s="2"/>
      <x:c r="B70" s="2"/>
      <x:c r="C70" s="2"/>
    </x:row>
    <x:row r="71">
      <x:c r="A71" s="2"/>
      <x:c r="B71" s="2"/>
      <x:c r="C71" s="2"/>
    </x:row>
    <x:row r="72">
      <x:c r="A72" s="2"/>
      <x:c r="B72" s="2"/>
      <x:c r="C72" s="2"/>
    </x:row>
    <x:row r="73">
      <x:c r="A73" s="2"/>
      <x:c r="B73" s="2"/>
      <x:c r="C73" s="2"/>
    </x:row>
    <x:row r="74">
      <x:c r="A74" s="2"/>
      <x:c r="B74" s="2"/>
      <x:c r="C74" s="2"/>
    </x:row>
    <x:row r="75">
      <x:c r="A75" s="2"/>
      <x:c r="B75" s="2"/>
      <x:c r="C75" s="2"/>
    </x:row>
    <x:row r="76">
      <x:c r="A76" s="2"/>
      <x:c r="B76" s="2"/>
      <x:c r="C76" s="2"/>
    </x:row>
    <x:row r="77">
      <x:c r="A77" s="2"/>
      <x:c r="B77" s="2"/>
      <x:c r="C77" s="2"/>
    </x:row>
    <x:row r="78">
      <x:c r="A78" s="2"/>
      <x:c r="B78" s="2"/>
      <x:c r="C78" s="2"/>
    </x:row>
    <x:row r="79">
      <x:c r="A79" s="2"/>
      <x:c r="B79" s="2"/>
      <x:c r="C79" s="2"/>
    </x:row>
    <x:row r="80">
      <x:c r="A80" s="2"/>
      <x:c r="B80" s="2"/>
      <x:c r="C80" s="2"/>
    </x:row>
    <x:row r="81">
      <x:c r="A81" s="2"/>
      <x:c r="B81" s="2"/>
      <x:c r="C81" s="2"/>
    </x:row>
    <x:row r="82">
      <x:c r="A82" s="2"/>
      <x:c r="B82" s="2"/>
      <x:c r="C82" s="2"/>
    </x:row>
    <x:row r="83">
      <x:c r="A83" s="2"/>
      <x:c r="B83" s="2"/>
      <x:c r="C83" s="2"/>
    </x:row>
    <x:row r="84">
      <x:c r="A84" s="2"/>
      <x:c r="B84" s="2"/>
      <x:c r="C84" s="2"/>
    </x:row>
    <x:row r="85">
      <x:c r="A85" s="2"/>
      <x:c r="B85" s="2"/>
      <x:c r="C85" s="2"/>
    </x:row>
    <x:row r="86">
      <x:c r="A86" s="2"/>
      <x:c r="B86" s="2"/>
      <x:c r="C86" s="2"/>
    </x:row>
    <x:row r="87">
      <x:c r="A87" s="2"/>
      <x:c r="B87" s="2"/>
      <x:c r="C87" s="2"/>
    </x:row>
    <x:row r="88">
      <x:c r="A88" s="2"/>
      <x:c r="B88" s="2"/>
      <x:c r="C88" s="2"/>
    </x:row>
    <x:row r="89">
      <x:c r="A89" s="2"/>
      <x:c r="B89" s="2"/>
      <x:c r="C89" s="2"/>
    </x:row>
    <x:row r="90">
      <x:c r="A90" s="2"/>
      <x:c r="B90" s="2"/>
      <x:c r="C90" s="2"/>
    </x:row>
    <x:row r="91">
      <x:c r="A91" s="2"/>
      <x:c r="B91" s="2"/>
      <x:c r="C91" s="2"/>
    </x:row>
    <x:row r="92">
      <x:c r="A92" s="2"/>
      <x:c r="B92" s="2"/>
      <x:c r="C92" s="2"/>
    </x:row>
    <x:row r="93">
      <x:c r="A93" s="2"/>
      <x:c r="B93" s="2"/>
      <x:c r="C93" s="2"/>
    </x:row>
    <x:row r="94">
      <x:c r="A94" s="2"/>
      <x:c r="B94" s="2"/>
      <x:c r="C94" s="2"/>
    </x:row>
    <x:row r="95">
      <x:c r="A95" s="2"/>
      <x:c r="B95" s="2"/>
      <x:c r="C95" s="2"/>
    </x:row>
    <x:row r="96">
      <x:c r="A96" s="2"/>
      <x:c r="B96" s="2"/>
      <x:c r="C96" s="2"/>
    </x:row>
    <x:row r="97">
      <x:c r="A97" s="2"/>
      <x:c r="B97" s="2"/>
      <x:c r="C97" s="2"/>
    </x:row>
    <x:row r="98">
      <x:c r="A98" s="2"/>
      <x:c r="B98" s="2"/>
      <x:c r="C98" s="2"/>
    </x:row>
    <x:row r="99">
      <x:c r="A99" s="2"/>
      <x:c r="B99" s="2"/>
      <x:c r="C99" s="2"/>
    </x:row>
    <x:row r="100">
      <x:c r="A100" s="2"/>
      <x:c r="B100" s="2"/>
      <x:c r="C100" s="2"/>
    </x:row>
    <x:row r="101">
      <x:c r="A101" s="2"/>
      <x:c r="B101" s="2"/>
      <x:c r="C101" s="2"/>
    </x:row>
    <x:row r="102">
      <x:c r="A102" s="2"/>
      <x:c r="B102" s="2"/>
      <x:c r="C102" s="2"/>
    </x:row>
    <x:row r="103">
      <x:c r="A103" s="2"/>
      <x:c r="B103" s="2"/>
      <x:c r="C103" s="2"/>
    </x:row>
    <x:row r="104">
      <x:c r="A104" s="2"/>
      <x:c r="B104" s="2"/>
      <x:c r="C104" s="2"/>
    </x:row>
    <x:row r="105">
      <x:c r="A105" s="2"/>
      <x:c r="B105" s="2"/>
      <x:c r="C105" s="2"/>
    </x:row>
    <x:row r="106">
      <x:c r="A106" s="2"/>
      <x:c r="B106" s="2"/>
      <x:c r="C106" s="2"/>
    </x:row>
    <x:row r="107">
      <x:c r="A107" s="2"/>
      <x:c r="B107" s="2"/>
      <x:c r="C107" s="2"/>
    </x:row>
    <x:row r="108">
      <x:c r="A108" s="2"/>
      <x:c r="B108" s="2"/>
      <x:c r="C108" s="2"/>
    </x:row>
    <x:row r="109">
      <x:c r="A109" s="2"/>
      <x:c r="B109" s="2"/>
      <x:c r="C109" s="2"/>
    </x:row>
    <x:row r="110">
      <x:c r="A110" s="2"/>
      <x:c r="B110" s="2"/>
      <x:c r="C110" s="2"/>
    </x:row>
    <x:row r="111">
      <x:c r="A111" s="2"/>
      <x:c r="B111" s="2"/>
      <x:c r="C111" s="2"/>
    </x:row>
    <x:row r="112">
      <x:c r="A112" s="2"/>
      <x:c r="B112" s="2"/>
      <x:c r="C112" s="2"/>
    </x:row>
    <x:row r="113">
      <x:c r="A113" s="2"/>
      <x:c r="B113" s="2"/>
      <x:c r="C113" s="2"/>
    </x:row>
    <x:row r="114">
      <x:c r="A114" s="2"/>
      <x:c r="B114" s="2"/>
      <x:c r="C114" s="2"/>
    </x:row>
    <x:row r="115">
      <x:c r="A115" s="2"/>
      <x:c r="B115" s="2"/>
      <x:c r="C115" s="2"/>
    </x:row>
    <x:row r="116">
      <x:c r="A116" s="2"/>
      <x:c r="B116" s="2"/>
      <x:c r="C116" s="2"/>
    </x:row>
    <x:row r="117">
      <x:c r="A117" s="2"/>
      <x:c r="B117" s="2"/>
      <x:c r="C117" s="2"/>
    </x:row>
    <x:row r="118">
      <x:c r="A118" s="2"/>
      <x:c r="B118" s="2"/>
      <x:c r="C118" s="2"/>
    </x:row>
    <x:row r="119">
      <x:c r="A119" s="2"/>
      <x:c r="B119" s="2"/>
      <x:c r="C119" s="2"/>
    </x:row>
    <x:row r="120">
      <x:c r="A120" s="2"/>
      <x:c r="B120" s="2"/>
      <x:c r="C120" s="2"/>
    </x:row>
    <x:row r="121">
      <x:c r="A121" s="2"/>
      <x:c r="B121" s="2"/>
      <x:c r="C121" s="2"/>
    </x:row>
    <x:row r="122">
      <x:c r="A122" s="2"/>
      <x:c r="B122" s="2"/>
      <x:c r="C122" s="2"/>
    </x:row>
    <x:row r="123">
      <x:c r="A123" s="2"/>
      <x:c r="B123" s="2"/>
      <x:c r="C123" s="2"/>
    </x:row>
    <x:row r="124">
      <x:c r="A124" s="2"/>
      <x:c r="B124" s="2"/>
      <x:c r="C124" s="2"/>
    </x:row>
    <x:row r="125">
      <x:c r="A125" s="2"/>
      <x:c r="B125" s="2"/>
      <x:c r="C125" s="2"/>
    </x:row>
    <x:row r="126">
      <x:c r="A126" s="2"/>
      <x:c r="B126" s="2"/>
      <x:c r="C126" s="2"/>
    </x:row>
    <x:row r="127">
      <x:c r="A127" s="2"/>
      <x:c r="B127" s="2"/>
      <x:c r="C127" s="2"/>
    </x:row>
    <x:row r="128">
      <x:c r="A128" s="2"/>
      <x:c r="B128" s="2"/>
      <x:c r="C128" s="2"/>
    </x:row>
    <x:row r="129">
      <x:c r="A129" s="2"/>
      <x:c r="B129" s="2"/>
      <x:c r="C129" s="2"/>
    </x:row>
    <x:row r="130">
      <x:c r="A130" s="2"/>
      <x:c r="B130" s="2"/>
      <x:c r="C130" s="2"/>
    </x:row>
    <x:row r="131">
      <x:c r="A131" s="2"/>
      <x:c r="B131" s="2"/>
      <x:c r="C131" s="2"/>
    </x:row>
    <x:row r="132">
      <x:c r="A132" s="2"/>
      <x:c r="B132" s="2"/>
      <x:c r="C132" s="2"/>
    </x:row>
    <x:row r="133">
      <x:c r="A133" s="2"/>
      <x:c r="B133" s="2"/>
      <x:c r="C133" s="2"/>
    </x:row>
    <x:row r="134">
      <x:c r="A134" s="2"/>
      <x:c r="B134" s="2"/>
      <x:c r="C134" s="2"/>
    </x:row>
    <x:row r="135">
      <x:c r="A135" s="2"/>
      <x:c r="B135" s="2"/>
      <x:c r="C135" s="2"/>
    </x:row>
    <x:row r="136">
      <x:c r="A136" s="2"/>
      <x:c r="B136" s="2"/>
      <x:c r="C136" s="2"/>
    </x:row>
    <x:row r="137">
      <x:c r="A137" s="2"/>
      <x:c r="B137" s="2"/>
      <x:c r="C137" s="2"/>
    </x:row>
    <x:row r="138">
      <x:c r="A138" s="2"/>
      <x:c r="B138" s="2"/>
      <x:c r="C138" s="2"/>
    </x:row>
    <x:row r="139">
      <x:c r="A139" s="2"/>
      <x:c r="B139" s="2"/>
      <x:c r="C139" s="2"/>
    </x:row>
    <x:row r="140">
      <x:c r="A140" s="2"/>
      <x:c r="B140" s="2"/>
      <x:c r="C140" s="2"/>
    </x:row>
    <x:row r="141">
      <x:c r="A141" s="2"/>
      <x:c r="B141" s="2"/>
      <x:c r="C141" s="2"/>
    </x:row>
    <x:row r="142">
      <x:c r="A142" s="2"/>
      <x:c r="B142" s="2"/>
      <x:c r="C142" s="2"/>
    </x:row>
    <x:row r="143">
      <x:c r="A143" s="2"/>
      <x:c r="B143" s="2"/>
      <x:c r="C143" s="2"/>
    </x:row>
    <x:row r="144">
      <x:c r="A144" s="2"/>
      <x:c r="B144" s="2"/>
      <x:c r="C144" s="2"/>
    </x:row>
    <x:row r="145">
      <x:c r="A145" s="2"/>
      <x:c r="B145" s="2"/>
      <x:c r="C145" s="2"/>
    </x:row>
    <x:row r="146">
      <x:c r="A146" s="2"/>
      <x:c r="B146" s="2"/>
      <x:c r="C146" s="2"/>
    </x:row>
    <x:row r="147">
      <x:c r="A147" s="2"/>
      <x:c r="B147" s="2"/>
      <x:c r="C147" s="2"/>
    </x:row>
    <x:row r="148">
      <x:c r="A148" s="2"/>
      <x:c r="B148" s="2"/>
      <x:c r="C148" s="2"/>
    </x:row>
    <x:row r="149">
      <x:c r="A149" s="2"/>
      <x:c r="B149" s="2"/>
      <x:c r="C149" s="2"/>
    </x:row>
    <x:row r="150">
      <x:c r="A150" s="2"/>
      <x:c r="B150" s="2"/>
      <x:c r="C15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30496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64" hidden="0" customWidth="1"/>
    <x:col min="4" max="4" width="22" hidden="0" customWidth="1"/>
  </x:cols>
  <x:sheetData>
    <x:row r="1">
      <x:c r="A1" s="2"/>
      <x:c r="B1" s="2"/>
      <x:c r="C1" s="2"/>
      <x:c r="D1" s="2"/>
    </x:row>
    <x:row r="2">
      <x:c r="A2" s="3" t="str">
        <x:v>추가 제안과 검증 항목</x:v>
      </x:c>
      <x:c r="B2" s="2"/>
      <x:c r="C2" s="2"/>
      <x:c r="D2" s="2"/>
    </x:row>
    <x:row r="3">
      <x:c r="A3" s="4" t="str">
        <x:v>확정되지 않은 수치와 구현 시 확인할 경계를 분리. 게임 코드 및 제작법 변경 작업은 이 파일에 포함되지 않음.</x:v>
      </x:c>
      <x:c r="B3" s="2"/>
      <x:c r="C3" s="2"/>
      <x:c r="D3" s="2"/>
    </x:row>
    <x:row r="4">
      <x:c r="A4" s="5"/>
      <x:c r="B4" s="5"/>
      <x:c r="C4" s="5"/>
      <x:c r="D4" s="5"/>
    </x:row>
    <x:row r="5" ht="32" customHeight="1">
      <x:c r="A5" s="9" t="str">
        <x:v>항목</x:v>
      </x:c>
      <x:c r="B5" s="9" t="str">
        <x:v>제안 또는 확인 내용</x:v>
      </x:c>
      <x:c r="C5" s="9" t="str">
        <x:v>이유·검증 방법</x:v>
      </x:c>
      <x:c r="D5" s="9" t="str">
        <x:v>상태</x:v>
      </x:c>
    </x:row>
    <x:row r="6" ht="68" customHeight="1">
      <x:c r="A6" s="10" t="str">
        <x:v>기본 수치 승인</x:v>
      </x:c>
      <x:c r="B6" s="10" t="str">
        <x:v>전투 수치·모듈 등급값·증폭 효율·제작법</x:v>
      </x:c>
      <x:c r="C6" s="10" t="str">
        <x:v>사용자는 설계 규칙을 확정했으나 모든 숫자에 별도 승인한 것은 아님.</x:v>
      </x:c>
      <x:c r="D6" s="10" t="str">
        <x:v>검토 요청</x:v>
      </x:c>
    </x:row>
    <x:row r="7" ht="68" customHeight="1">
      <x:c r="A7" s="11" t="str">
        <x:v>범위 표시 시간</x:v>
      </x:c>
      <x:c r="B7" s="11" t="str">
        <x:v>포탑별 15초, 재클릭 시 연장</x:v>
      </x:c>
      <x:c r="C7" s="11" t="str">
        <x:v>도구를 놓아도 타이머 동안 유지. 여러 선택은 각각 만료.</x:v>
      </x:c>
      <x:c r="D7" s="11" t="str">
        <x:v>추가 제안</x:v>
      </x:c>
    </x:row>
    <x:row r="8" ht="68" customHeight="1">
      <x:c r="A8" s="10" t="str">
        <x:v>투석 탄도</x:v>
      </x:c>
      <x:c r="B8" s="10" t="str">
        <x:v>초기 탄속 1.25블록/틱</x:v>
      </x:c>
      <x:c r="C8" s="10" t="str">
        <x:v>중력·항력을 포함해 24블록 도달, 화약 증폭, 근접 발사, 천장 차폐 검증.</x:v>
      </x:c>
      <x:c r="D8" s="10" t="str">
        <x:v>실측 필요</x:v>
      </x:c>
    </x:row>
    <x:row r="9" ht="68" customHeight="1">
      <x:c r="A9" s="11" t="str">
        <x:v>최소 공격 주기</x:v>
      </x:c>
      <x:c r="B9" s="11" t="str">
        <x:v>화살 0.2초 / 투석 0.75초 / 화염 0.6초</x:v>
      </x:c>
      <x:c r="C9" s="11" t="str">
        <x:v>과도한 공속에서 틱 한계와 피해 판정 횟수 보호.</x:v>
      </x:c>
      <x:c r="D9" s="11" t="str">
        <x:v>추가 제안</x:v>
      </x:c>
    </x:row>
    <x:row r="10" ht="68" customHeight="1">
      <x:c r="A10" s="10" t="str">
        <x:v>폭발 감쇠</x:v>
      </x:c>
      <x:c r="B10" s="10" t="str">
        <x:v>중심 최대, 반경 끝 0인 선형 감소</x:v>
      </x:c>
      <x:c r="C10" s="10" t="str">
        <x:v>거리별 피해 수치는 아직 확정되지 않음.</x:v>
      </x:c>
      <x:c r="D10" s="10" t="str">
        <x:v>추가 제안</x:v>
      </x:c>
    </x:row>
    <x:row r="11" ht="68" customHeight="1">
      <x:c r="A11" s="11" t="str">
        <x:v>집속 파편 산개</x:v>
      </x:c>
      <x:c r="B11" s="11" t="str">
        <x:v>반경 2~4블록 착탄, 파편 재분열 없음</x:v>
      </x:c>
      <x:c r="C11" s="11" t="str">
        <x:v>자기 중심 재중첩으로 과도한 단일 대상 피해가 나지 않는지 측정.</x:v>
      </x:c>
      <x:c r="D11" s="11" t="str">
        <x:v>추가 제안</x:v>
      </x:c>
    </x:row>
    <x:row r="12" ht="68" customHeight="1">
      <x:c r="A12" s="10" t="str">
        <x:v>집속 범위 모듈</x:v>
      </x:c>
      <x:c r="B12" s="10" t="str">
        <x:v>폭발 범위 모듈은 본체·파편 반경 모두 적용 제안</x:v>
      </x:c>
      <x:c r="C12" s="10" t="str">
        <x:v>공통 공격력 적용은 확정. 반경 적용 대상은 별도 확정 필요.</x:v>
      </x:c>
      <x:c r="D12" s="10" t="str">
        <x:v>검토 요청</x:v>
      </x:c>
    </x:row>
    <x:row r="13" ht="68" customHeight="1">
      <x:c r="A13" s="11" t="str">
        <x:v>디펜스 차원 내부</x:v>
      </x:c>
      <x:c r="B13" s="11" t="str">
        <x:v>성벽 안쪽만 설치·운용으로 해석 제안</x:v>
      </x:c>
      <x:c r="C13" s="11" t="str">
        <x:v>다른 차원 금지는 확정. 성벽 바깥도 금지인지 문구 확인 필요.</x:v>
      </x:c>
      <x:c r="D13" s="11" t="str">
        <x:v>검토 요청</x:v>
      </x:c>
    </x:row>
    <x:row r="14" ht="68" customHeight="1">
      <x:c r="A14" s="10" t="str">
        <x:v>최근 실제 DPS</x:v>
      </x:c>
      <x:c r="B14" s="10" t="str">
        <x:v>최근 10초간 실제 HP 피해 합계 / 10초</x:v>
      </x:c>
      <x:c r="C14" s="10" t="str">
        <x:v>오버킬 제외, 화상·파편은 소유 포탑으로 귀속.</x:v>
      </x:c>
      <x:c r="D14" s="10" t="str">
        <x:v>추가 제안</x:v>
      </x:c>
    </x:row>
    <x:row r="15" ht="68" customHeight="1">
      <x:c r="A15" s="11" t="str">
        <x:v>정지 표기</x:v>
      </x:c>
      <x:c r="B15" s="11" t="str">
        <x:v>자원 부족·신호 정지·사선 차단을 원인별 표시</x:v>
      </x:c>
      <x:c r="C15" s="11" t="str">
        <x:v>표적 없음은 정상 대기. 증폭을 사용하지 않은 포탑에는 고갈 경고 없음.</x:v>
      </x:c>
      <x:c r="D15" s="11" t="str">
        <x:v>표현 제안</x:v>
      </x:c>
    </x:row>
    <x:row r="16" ht="68" customHeight="1">
      <x:c r="A16" s="10" t="str">
        <x:v>도탄 마지막 적중</x:v>
      </x:c>
      <x:c r="B16" s="10" t="str">
        <x:v>관통 횟수를 모두 소모할 예정인 적중에서만 발생</x:v>
      </x:c>
      <x:c r="C16" s="10" t="str">
        <x:v>앞 적중 후 비행 종료·블록 충돌·대상 부족은 마지막 적중으로 소급하지 않음.</x:v>
      </x:c>
      <x:c r="D16" s="10" t="str">
        <x:v>확정 해석</x:v>
      </x:c>
    </x:row>
    <x:row r="17" ht="68" customHeight="1">
      <x:c r="A17" s="11" t="str">
        <x:v>화염 기름 부담</x:v>
      </x:c>
      <x:c r="B17" s="11" t="str">
        <x:v>기본 20mB/분사, 병당 완전 분사 12회</x:v>
      </x:c>
      <x:c r="C17" s="11" t="str">
        <x:v>6대 중 화염 1대가 60초의 50% 가동 시 400mB 소모. 수동 씨앗 공급 부담 검증.</x:v>
      </x:c>
      <x:c r="D17" s="11" t="str">
        <x:v>밸런스 검토</x:v>
      </x:c>
    </x:row>
    <x:row r="18" ht="68" customHeight="1">
      <x:c r="A18" s="10" t="str">
        <x:v>제작 재료 접근성</x:v>
      </x:c>
      <x:c r="B18" s="10" t="str">
        <x:v>슬라임·화약은 탐험/몹 드롭 필요</x:v>
      </x:c>
      <x:c r="C18" s="10" t="str">
        <x:v>도탄 I 획득이 과도하게 지연되면 슬라임볼 대체 제작 검토.</x:v>
      </x:c>
      <x:c r="D18" s="10" t="str">
        <x:v>밸런스 검토</x:v>
      </x:c>
    </x:row>
    <x:row r="19" ht="68" customHeight="1">
      <x:c r="A19" s="11" t="str">
        <x:v>동시 피격</x:v>
      </x:c>
      <x:c r="B19" s="11" t="str">
        <x:v>다중 화살·여러 포탑 직접 화염 피해를 각각 반영</x:v>
      </x:c>
      <x:c r="C19" s="11" t="str">
        <x:v>바닐라 피격 무적시간 때문에 의도한 피해가 누락되지 않는지 테스트.</x:v>
      </x:c>
      <x:c r="D19" s="11" t="str">
        <x:v>구현 검증</x:v>
      </x:c>
    </x:row>
    <x:row r="20" ht="68" customHeight="1">
      <x:c r="A20" s="10" t="str">
        <x:v>경제 보존</x:v>
      </x:c>
      <x:c r="B20" s="10" t="str">
        <x:v>용기 반환·모듈 회수·연료 잔여 발수 저장</x:v>
      </x:c>
      <x:c r="C20" s="10" t="str">
        <x:v>회수/재설치·청크 재로드·동시 UI·호퍼 처리 중 복제 및 소실 검증.</x:v>
      </x:c>
      <x:c r="D20" s="10" t="str">
        <x:v>구현 검증</x:v>
      </x:c>
    </x:row>
    <x:row r="21" ht="68" customHeight="1">
      <x:c r="A21" s="11" t="str">
        <x:v>엑셀 계산 범위</x:v>
      </x:c>
      <x:c r="B21" s="11" t="str">
        <x:v>기본 및 수치 보너스 비교, 자원 장기 평균</x:v>
      </x:c>
      <x:c r="C21" s="11" t="str">
        <x:v>실제 명중률·범위 내 적 수·비행시간·피격 무적·틱 반올림을 포함한 시뮬레이터는 아님.</x:v>
      </x:c>
      <x:c r="D21" s="11" t="str">
        <x:v>계산 정의</x:v>
      </x:c>
    </x:row>
    <x:row r="22">
      <x:c r="A22" s="2"/>
      <x:c r="B22" s="2"/>
      <x:c r="C22" s="2"/>
      <x:c r="D22" s="2"/>
    </x:row>
    <x:row r="23">
      <x:c r="A23" s="2"/>
      <x:c r="B23" s="2"/>
      <x:c r="C23" s="2"/>
      <x:c r="D23" s="2"/>
    </x:row>
    <x:row r="24">
      <x:c r="A24" s="2"/>
      <x:c r="B24" s="2"/>
      <x:c r="C24" s="2"/>
      <x:c r="D24" s="2"/>
    </x:row>
    <x:row r="25">
      <x:c r="A25" s="2"/>
      <x:c r="B25" s="2"/>
      <x:c r="C25" s="2"/>
      <x:c r="D25" s="2"/>
    </x:row>
    <x:row r="26">
      <x:c r="A26" s="2"/>
      <x:c r="B26" s="2"/>
      <x:c r="C26" s="2"/>
      <x:c r="D26" s="2"/>
    </x:row>
    <x:row r="27">
      <x:c r="A27" s="2"/>
      <x:c r="B27" s="2"/>
      <x:c r="C27" s="2"/>
      <x:c r="D27" s="2"/>
    </x:row>
    <x:row r="28">
      <x:c r="A28" s="2"/>
      <x:c r="B28" s="2"/>
      <x:c r="C28" s="2"/>
      <x:c r="D28" s="2"/>
    </x:row>
    <x:row r="29">
      <x:c r="A29" s="2"/>
      <x:c r="B29" s="2"/>
      <x:c r="C29" s="2"/>
      <x:c r="D29" s="2"/>
    </x:row>
    <x:row r="30">
      <x:c r="A30" s="2"/>
      <x:c r="B30" s="2"/>
      <x:c r="C30" s="2"/>
      <x:c r="D30" s="2"/>
    </x:row>
    <x:row r="31">
      <x:c r="A31" s="2"/>
      <x:c r="B31" s="2"/>
      <x:c r="C31" s="2"/>
      <x:c r="D31" s="2"/>
    </x:row>
    <x:row r="32">
      <x:c r="A32" s="2"/>
      <x:c r="B32" s="2"/>
      <x:c r="C32" s="2"/>
      <x:c r="D32" s="2"/>
    </x:row>
    <x:row r="33">
      <x:c r="A33" s="2"/>
      <x:c r="B33" s="2"/>
      <x:c r="C33" s="2"/>
      <x:c r="D33" s="2"/>
    </x:row>
    <x:row r="34">
      <x:c r="A34" s="2"/>
      <x:c r="B34" s="2"/>
      <x:c r="C34" s="2"/>
      <x:c r="D34" s="2"/>
    </x:row>
    <x:row r="35">
      <x:c r="A35" s="2"/>
      <x:c r="B35" s="2"/>
      <x:c r="C35" s="2"/>
      <x:c r="D35" s="2"/>
    </x:row>
    <x:row r="36">
      <x:c r="A36" s="2"/>
      <x:c r="B36" s="2"/>
      <x:c r="C36" s="2"/>
      <x:c r="D36" s="2"/>
    </x:row>
    <x:row r="37">
      <x:c r="A37" s="2"/>
      <x:c r="B37" s="2"/>
      <x:c r="C37" s="2"/>
      <x:c r="D37" s="2"/>
    </x:row>
    <x:row r="38">
      <x:c r="A38" s="2"/>
      <x:c r="B38" s="2"/>
      <x:c r="C38" s="2"/>
      <x:c r="D38" s="2"/>
    </x:row>
    <x:row r="39">
      <x:c r="A39" s="2"/>
      <x:c r="B39" s="2"/>
      <x:c r="C39" s="2"/>
      <x:c r="D39" s="2"/>
    </x:row>
    <x:row r="40">
      <x:c r="A40" s="2"/>
      <x:c r="B40" s="2"/>
      <x:c r="C40" s="2"/>
      <x:c r="D40" s="2"/>
    </x:row>
    <x:row r="41">
      <x:c r="A41" s="2"/>
      <x:c r="B41" s="2"/>
      <x:c r="C41" s="2"/>
      <x:c r="D41" s="2"/>
    </x:row>
    <x:row r="42">
      <x:c r="A42" s="2"/>
      <x:c r="B42" s="2"/>
      <x:c r="C42" s="2"/>
      <x:c r="D42" s="2"/>
    </x:row>
    <x:row r="43">
      <x:c r="A43" s="2"/>
      <x:c r="B43" s="2"/>
      <x:c r="C43" s="2"/>
      <x:c r="D43" s="2"/>
    </x:row>
    <x:row r="44">
      <x:c r="A44" s="2"/>
      <x:c r="B44" s="2"/>
      <x:c r="C44" s="2"/>
      <x:c r="D44" s="2"/>
    </x:row>
    <x:row r="45">
      <x:c r="A45" s="2"/>
      <x:c r="B45" s="2"/>
      <x:c r="C45" s="2"/>
      <x:c r="D45" s="2"/>
    </x:row>
    <x:row r="46">
      <x:c r="A46" s="2"/>
      <x:c r="B46" s="2"/>
      <x:c r="C46" s="2"/>
      <x:c r="D46" s="2"/>
    </x:row>
    <x:row r="47">
      <x:c r="A47" s="2"/>
      <x:c r="B47" s="2"/>
      <x:c r="C47" s="2"/>
      <x:c r="D47" s="2"/>
    </x:row>
    <x:row r="48">
      <x:c r="A48" s="2"/>
      <x:c r="B48" s="2"/>
      <x:c r="C48" s="2"/>
      <x:c r="D48" s="2"/>
    </x:row>
    <x:row r="49">
      <x:c r="A49" s="2"/>
      <x:c r="B49" s="2"/>
      <x:c r="C49" s="2"/>
      <x:c r="D49" s="2"/>
    </x:row>
    <x:row r="50">
      <x:c r="A50" s="2"/>
      <x:c r="B50" s="2"/>
      <x:c r="C50" s="2"/>
      <x:c r="D50" s="2"/>
    </x:row>
    <x:row r="51">
      <x:c r="A51" s="2"/>
      <x:c r="B51" s="2"/>
      <x:c r="C51" s="2"/>
      <x:c r="D51" s="2"/>
    </x:row>
    <x:row r="52">
      <x:c r="A52" s="2"/>
      <x:c r="B52" s="2"/>
      <x:c r="C52" s="2"/>
      <x:c r="D52" s="2"/>
    </x:row>
    <x:row r="53">
      <x:c r="A53" s="2"/>
      <x:c r="B53" s="2"/>
      <x:c r="C53" s="2"/>
      <x:c r="D53" s="2"/>
    </x:row>
    <x:row r="54">
      <x:c r="A54" s="2"/>
      <x:c r="B54" s="2"/>
      <x:c r="C54" s="2"/>
      <x:c r="D54" s="2"/>
    </x:row>
    <x:row r="55">
      <x:c r="A55" s="2"/>
      <x:c r="B55" s="2"/>
      <x:c r="C55" s="2"/>
      <x:c r="D55" s="2"/>
    </x:row>
    <x:row r="56">
      <x:c r="A56" s="2"/>
      <x:c r="B56" s="2"/>
      <x:c r="C56" s="2"/>
      <x:c r="D56" s="2"/>
    </x:row>
    <x:row r="57">
      <x:c r="A57" s="2"/>
      <x:c r="B57" s="2"/>
      <x:c r="C57" s="2"/>
      <x:c r="D57" s="2"/>
    </x:row>
    <x:row r="58">
      <x:c r="A58" s="2"/>
      <x:c r="B58" s="2"/>
      <x:c r="C58" s="2"/>
      <x:c r="D58" s="2"/>
    </x:row>
    <x:row r="59">
      <x:c r="A59" s="2"/>
      <x:c r="B59" s="2"/>
      <x:c r="C59" s="2"/>
      <x:c r="D59" s="2"/>
    </x:row>
    <x:row r="60">
      <x:c r="A60" s="2"/>
      <x:c r="B60" s="2"/>
      <x:c r="C60" s="2"/>
      <x:c r="D60" s="2"/>
    </x:row>
    <x:row r="61">
      <x:c r="A61" s="2"/>
      <x:c r="B61" s="2"/>
      <x:c r="C61" s="2"/>
      <x:c r="D61" s="2"/>
    </x:row>
    <x:row r="62">
      <x:c r="A62" s="2"/>
      <x:c r="B62" s="2"/>
      <x:c r="C62" s="2"/>
      <x:c r="D62" s="2"/>
    </x:row>
    <x:row r="63">
      <x:c r="A63" s="2"/>
      <x:c r="B63" s="2"/>
      <x:c r="C63" s="2"/>
      <x:c r="D63" s="2"/>
    </x:row>
    <x:row r="64">
      <x:c r="A64" s="2"/>
      <x:c r="B64" s="2"/>
      <x:c r="C64" s="2"/>
      <x:c r="D64" s="2"/>
    </x:row>
    <x:row r="65">
      <x:c r="A65" s="2"/>
      <x:c r="B65" s="2"/>
      <x:c r="C65" s="2"/>
      <x:c r="D65" s="2"/>
    </x:row>
    <x:row r="66">
      <x:c r="A66" s="2"/>
      <x:c r="B66" s="2"/>
      <x:c r="C66" s="2"/>
      <x:c r="D66" s="2"/>
    </x:row>
    <x:row r="67">
      <x:c r="A67" s="2"/>
      <x:c r="B67" s="2"/>
      <x:c r="C67" s="2"/>
      <x:c r="D67" s="2"/>
    </x:row>
    <x:row r="68">
      <x:c r="A68" s="2"/>
      <x:c r="B68" s="2"/>
      <x:c r="C68" s="2"/>
      <x:c r="D68" s="2"/>
    </x:row>
    <x:row r="69">
      <x:c r="A69" s="2"/>
      <x:c r="B69" s="2"/>
      <x:c r="C69" s="2"/>
      <x:c r="D69" s="2"/>
    </x:row>
    <x:row r="70">
      <x:c r="A70" s="2"/>
      <x:c r="B70" s="2"/>
      <x:c r="C70" s="2"/>
      <x:c r="D70" s="2"/>
    </x:row>
    <x:row r="71">
      <x:c r="A71" s="2"/>
      <x:c r="B71" s="2"/>
      <x:c r="C71" s="2"/>
      <x:c r="D71" s="2"/>
    </x:row>
    <x:row r="72">
      <x:c r="A72" s="2"/>
      <x:c r="B72" s="2"/>
      <x:c r="C72" s="2"/>
      <x:c r="D72" s="2"/>
    </x:row>
    <x:row r="73">
      <x:c r="A73" s="2"/>
      <x:c r="B73" s="2"/>
      <x:c r="C73" s="2"/>
      <x:c r="D73" s="2"/>
    </x:row>
    <x:row r="74">
      <x:c r="A74" s="2"/>
      <x:c r="B74" s="2"/>
      <x:c r="C74" s="2"/>
      <x:c r="D74" s="2"/>
    </x:row>
    <x:row r="75">
      <x:c r="A75" s="2"/>
      <x:c r="B75" s="2"/>
      <x:c r="C75" s="2"/>
      <x:c r="D75" s="2"/>
    </x:row>
    <x:row r="76">
      <x:c r="A76" s="2"/>
      <x:c r="B76" s="2"/>
      <x:c r="C76" s="2"/>
      <x:c r="D76" s="2"/>
    </x:row>
    <x:row r="77">
      <x:c r="A77" s="2"/>
      <x:c r="B77" s="2"/>
      <x:c r="C77" s="2"/>
      <x:c r="D77" s="2"/>
    </x:row>
    <x:row r="78">
      <x:c r="A78" s="2"/>
      <x:c r="B78" s="2"/>
      <x:c r="C78" s="2"/>
      <x:c r="D78" s="2"/>
    </x:row>
    <x:row r="79">
      <x:c r="A79" s="2"/>
      <x:c r="B79" s="2"/>
      <x:c r="C79" s="2"/>
      <x:c r="D79" s="2"/>
    </x:row>
    <x:row r="80">
      <x:c r="A80" s="2"/>
      <x:c r="B80" s="2"/>
      <x:c r="C80" s="2"/>
      <x:c r="D80" s="2"/>
    </x:row>
    <x:row r="81">
      <x:c r="A81" s="2"/>
      <x:c r="B81" s="2"/>
      <x:c r="C81" s="2"/>
      <x:c r="D81" s="2"/>
    </x:row>
    <x:row r="82">
      <x:c r="A82" s="2"/>
      <x:c r="B82" s="2"/>
      <x:c r="C82" s="2"/>
      <x:c r="D82" s="2"/>
    </x:row>
    <x:row r="83">
      <x:c r="A83" s="2"/>
      <x:c r="B83" s="2"/>
      <x:c r="C83" s="2"/>
      <x:c r="D83" s="2"/>
    </x:row>
    <x:row r="84">
      <x:c r="A84" s="2"/>
      <x:c r="B84" s="2"/>
      <x:c r="C84" s="2"/>
      <x:c r="D84" s="2"/>
    </x:row>
    <x:row r="85">
      <x:c r="A85" s="2"/>
      <x:c r="B85" s="2"/>
      <x:c r="C85" s="2"/>
      <x:c r="D85" s="2"/>
    </x:row>
    <x:row r="86">
      <x:c r="A86" s="2"/>
      <x:c r="B86" s="2"/>
      <x:c r="C86" s="2"/>
      <x:c r="D86" s="2"/>
    </x:row>
    <x:row r="87">
      <x:c r="A87" s="2"/>
      <x:c r="B87" s="2"/>
      <x:c r="C87" s="2"/>
      <x:c r="D87" s="2"/>
    </x:row>
    <x:row r="88">
      <x:c r="A88" s="2"/>
      <x:c r="B88" s="2"/>
      <x:c r="C88" s="2"/>
      <x:c r="D88" s="2"/>
    </x:row>
    <x:row r="89">
      <x:c r="A89" s="2"/>
      <x:c r="B89" s="2"/>
      <x:c r="C89" s="2"/>
      <x:c r="D89" s="2"/>
    </x:row>
    <x:row r="90">
      <x:c r="A90" s="2"/>
      <x:c r="B90" s="2"/>
      <x:c r="C90" s="2"/>
      <x:c r="D90" s="2"/>
    </x:row>
    <x:row r="91">
      <x:c r="A91" s="2"/>
      <x:c r="B91" s="2"/>
      <x:c r="C91" s="2"/>
      <x:c r="D91" s="2"/>
    </x:row>
    <x:row r="92">
      <x:c r="A92" s="2"/>
      <x:c r="B92" s="2"/>
      <x:c r="C92" s="2"/>
      <x:c r="D92" s="2"/>
    </x:row>
    <x:row r="93">
      <x:c r="A93" s="2"/>
      <x:c r="B93" s="2"/>
      <x:c r="C93" s="2"/>
      <x:c r="D93" s="2"/>
    </x:row>
    <x:row r="94">
      <x:c r="A94" s="2"/>
      <x:c r="B94" s="2"/>
      <x:c r="C94" s="2"/>
      <x:c r="D94" s="2"/>
    </x:row>
    <x:row r="95">
      <x:c r="A95" s="2"/>
      <x:c r="B95" s="2"/>
      <x:c r="C95" s="2"/>
      <x:c r="D95" s="2"/>
    </x:row>
    <x:row r="96">
      <x:c r="A96" s="2"/>
      <x:c r="B96" s="2"/>
      <x:c r="C96" s="2"/>
      <x:c r="D96" s="2"/>
    </x:row>
    <x:row r="97">
      <x:c r="A97" s="2"/>
      <x:c r="B97" s="2"/>
      <x:c r="C97" s="2"/>
      <x:c r="D97" s="2"/>
    </x:row>
    <x:row r="98">
      <x:c r="A98" s="2"/>
      <x:c r="B98" s="2"/>
      <x:c r="C98" s="2"/>
      <x:c r="D98" s="2"/>
    </x:row>
    <x:row r="99">
      <x:c r="A99" s="2"/>
      <x:c r="B99" s="2"/>
      <x:c r="C99" s="2"/>
      <x:c r="D99" s="2"/>
    </x:row>
    <x:row r="100">
      <x:c r="A100" s="2"/>
      <x:c r="B100" s="2"/>
      <x:c r="C100" s="2"/>
      <x:c r="D100" s="2"/>
    </x:row>
    <x:row r="101">
      <x:c r="A101" s="2"/>
      <x:c r="B101" s="2"/>
      <x:c r="C101" s="2"/>
      <x:c r="D101" s="2"/>
    </x:row>
    <x:row r="102">
      <x:c r="A102" s="2"/>
      <x:c r="B102" s="2"/>
      <x:c r="C102" s="2"/>
      <x:c r="D102" s="2"/>
    </x:row>
    <x:row r="103">
      <x:c r="A103" s="2"/>
      <x:c r="B103" s="2"/>
      <x:c r="C103" s="2"/>
      <x:c r="D103" s="2"/>
    </x:row>
    <x:row r="104">
      <x:c r="A104" s="2"/>
      <x:c r="B104" s="2"/>
      <x:c r="C104" s="2"/>
      <x:c r="D104" s="2"/>
    </x:row>
    <x:row r="105">
      <x:c r="A105" s="2"/>
      <x:c r="B105" s="2"/>
      <x:c r="C105" s="2"/>
      <x:c r="D105" s="2"/>
    </x:row>
    <x:row r="106">
      <x:c r="A106" s="2"/>
      <x:c r="B106" s="2"/>
      <x:c r="C106" s="2"/>
      <x:c r="D106" s="2"/>
    </x:row>
    <x:row r="107">
      <x:c r="A107" s="2"/>
      <x:c r="B107" s="2"/>
      <x:c r="C107" s="2"/>
      <x:c r="D107" s="2"/>
    </x:row>
    <x:row r="108">
      <x:c r="A108" s="2"/>
      <x:c r="B108" s="2"/>
      <x:c r="C108" s="2"/>
      <x:c r="D108" s="2"/>
    </x:row>
    <x:row r="109">
      <x:c r="A109" s="2"/>
      <x:c r="B109" s="2"/>
      <x:c r="C109" s="2"/>
      <x:c r="D109" s="2"/>
    </x:row>
    <x:row r="110">
      <x:c r="A110" s="2"/>
      <x:c r="B110" s="2"/>
      <x:c r="C110" s="2"/>
      <x:c r="D110" s="2"/>
    </x:row>
    <x:row r="111">
      <x:c r="A111" s="2"/>
      <x:c r="B111" s="2"/>
      <x:c r="C111" s="2"/>
      <x:c r="D111" s="2"/>
    </x:row>
    <x:row r="112">
      <x:c r="A112" s="2"/>
      <x:c r="B112" s="2"/>
      <x:c r="C112" s="2"/>
      <x:c r="D112" s="2"/>
    </x:row>
    <x:row r="113">
      <x:c r="A113" s="2"/>
      <x:c r="B113" s="2"/>
      <x:c r="C113" s="2"/>
      <x:c r="D113" s="2"/>
    </x:row>
    <x:row r="114">
      <x:c r="A114" s="2"/>
      <x:c r="B114" s="2"/>
      <x:c r="C114" s="2"/>
      <x:c r="D114" s="2"/>
    </x:row>
    <x:row r="115">
      <x:c r="A115" s="2"/>
      <x:c r="B115" s="2"/>
      <x:c r="C115" s="2"/>
      <x:c r="D115" s="2"/>
    </x:row>
    <x:row r="116">
      <x:c r="A116" s="2"/>
      <x:c r="B116" s="2"/>
      <x:c r="C116" s="2"/>
      <x:c r="D116" s="2"/>
    </x:row>
    <x:row r="117">
      <x:c r="A117" s="2"/>
      <x:c r="B117" s="2"/>
      <x:c r="C117" s="2"/>
      <x:c r="D117" s="2"/>
    </x:row>
    <x:row r="118">
      <x:c r="A118" s="2"/>
      <x:c r="B118" s="2"/>
      <x:c r="C118" s="2"/>
      <x:c r="D118" s="2"/>
    </x:row>
    <x:row r="119">
      <x:c r="A119" s="2"/>
      <x:c r="B119" s="2"/>
      <x:c r="C119" s="2"/>
      <x:c r="D119" s="2"/>
    </x:row>
    <x:row r="120">
      <x:c r="A120" s="2"/>
      <x:c r="B120" s="2"/>
      <x:c r="C120" s="2"/>
      <x:c r="D120" s="2"/>
    </x:row>
    <x:row r="121">
      <x:c r="A121" s="2"/>
      <x:c r="B121" s="2"/>
      <x:c r="C121" s="2"/>
      <x:c r="D121" s="2"/>
    </x:row>
    <x:row r="122">
      <x:c r="A122" s="2"/>
      <x:c r="B122" s="2"/>
      <x:c r="C122" s="2"/>
      <x:c r="D122" s="2"/>
    </x:row>
    <x:row r="123">
      <x:c r="A123" s="2"/>
      <x:c r="B123" s="2"/>
      <x:c r="C123" s="2"/>
      <x:c r="D123" s="2"/>
    </x:row>
    <x:row r="124">
      <x:c r="A124" s="2"/>
      <x:c r="B124" s="2"/>
      <x:c r="C124" s="2"/>
      <x:c r="D124" s="2"/>
    </x:row>
    <x:row r="125">
      <x:c r="A125" s="2"/>
      <x:c r="B125" s="2"/>
      <x:c r="C125" s="2"/>
      <x:c r="D125" s="2"/>
    </x:row>
    <x:row r="126">
      <x:c r="A126" s="2"/>
      <x:c r="B126" s="2"/>
      <x:c r="C126" s="2"/>
      <x:c r="D126" s="2"/>
    </x:row>
    <x:row r="127">
      <x:c r="A127" s="2"/>
      <x:c r="B127" s="2"/>
      <x:c r="C127" s="2"/>
      <x:c r="D127" s="2"/>
    </x:row>
    <x:row r="128">
      <x:c r="A128" s="2"/>
      <x:c r="B128" s="2"/>
      <x:c r="C128" s="2"/>
      <x:c r="D128" s="2"/>
    </x:row>
    <x:row r="129">
      <x:c r="A129" s="2"/>
      <x:c r="B129" s="2"/>
      <x:c r="C129" s="2"/>
      <x:c r="D129" s="2"/>
    </x:row>
    <x:row r="130">
      <x:c r="A130" s="2"/>
      <x:c r="B130" s="2"/>
      <x:c r="C130" s="2"/>
      <x:c r="D130" s="2"/>
    </x:row>
    <x:row r="131">
      <x:c r="A131" s="2"/>
      <x:c r="B131" s="2"/>
      <x:c r="C131" s="2"/>
      <x:c r="D131" s="2"/>
    </x:row>
    <x:row r="132">
      <x:c r="A132" s="2"/>
      <x:c r="B132" s="2"/>
      <x:c r="C132" s="2"/>
      <x:c r="D132" s="2"/>
    </x:row>
    <x:row r="133">
      <x:c r="A133" s="2"/>
      <x:c r="B133" s="2"/>
      <x:c r="C133" s="2"/>
      <x:c r="D133" s="2"/>
    </x:row>
    <x:row r="134">
      <x:c r="A134" s="2"/>
      <x:c r="B134" s="2"/>
      <x:c r="C134" s="2"/>
      <x:c r="D134" s="2"/>
    </x:row>
    <x:row r="135">
      <x:c r="A135" s="2"/>
      <x:c r="B135" s="2"/>
      <x:c r="C135" s="2"/>
      <x:c r="D135" s="2"/>
    </x:row>
    <x:row r="136">
      <x:c r="A136" s="2"/>
      <x:c r="B136" s="2"/>
      <x:c r="C136" s="2"/>
      <x:c r="D136" s="2"/>
    </x:row>
    <x:row r="137">
      <x:c r="A137" s="2"/>
      <x:c r="B137" s="2"/>
      <x:c r="C137" s="2"/>
      <x:c r="D137" s="2"/>
    </x:row>
    <x:row r="138">
      <x:c r="A138" s="2"/>
      <x:c r="B138" s="2"/>
      <x:c r="C138" s="2"/>
      <x:c r="D138" s="2"/>
    </x:row>
    <x:row r="139">
      <x:c r="A139" s="2"/>
      <x:c r="B139" s="2"/>
      <x:c r="C139" s="2"/>
      <x:c r="D139" s="2"/>
    </x:row>
    <x:row r="140">
      <x:c r="A140" s="2"/>
      <x:c r="B140" s="2"/>
      <x:c r="C140" s="2"/>
      <x:c r="D140" s="2"/>
    </x:row>
    <x:row r="141">
      <x:c r="A141" s="2"/>
      <x:c r="B141" s="2"/>
      <x:c r="C141" s="2"/>
      <x:c r="D141" s="2"/>
    </x:row>
    <x:row r="142">
      <x:c r="A142" s="2"/>
      <x:c r="B142" s="2"/>
      <x:c r="C142" s="2"/>
      <x:c r="D142" s="2"/>
    </x:row>
    <x:row r="143">
      <x:c r="A143" s="2"/>
      <x:c r="B143" s="2"/>
      <x:c r="C143" s="2"/>
      <x:c r="D143" s="2"/>
    </x:row>
    <x:row r="144">
      <x:c r="A144" s="2"/>
      <x:c r="B144" s="2"/>
      <x:c r="C144" s="2"/>
      <x:c r="D144" s="2"/>
    </x:row>
    <x:row r="145">
      <x:c r="A145" s="2"/>
      <x:c r="B145" s="2"/>
      <x:c r="C145" s="2"/>
      <x:c r="D145" s="2"/>
    </x:row>
    <x:row r="146">
      <x:c r="A146" s="2"/>
      <x:c r="B146" s="2"/>
      <x:c r="C146" s="2"/>
      <x:c r="D146" s="2"/>
    </x:row>
    <x:row r="147">
      <x:c r="A147" s="2"/>
      <x:c r="B147" s="2"/>
      <x:c r="C147" s="2"/>
      <x:c r="D147" s="2"/>
    </x:row>
    <x:row r="148">
      <x:c r="A148" s="2"/>
      <x:c r="B148" s="2"/>
      <x:c r="C148" s="2"/>
      <x:c r="D148" s="2"/>
    </x:row>
    <x:row r="149">
      <x:c r="A149" s="2"/>
      <x:c r="B149" s="2"/>
      <x:c r="C149" s="2"/>
      <x:c r="D149" s="2"/>
    </x:row>
    <x:row r="150">
      <x:c r="A150" s="2"/>
      <x:c r="B150" s="2"/>
      <x:c r="C150" s="2"/>
      <x:c r="D150" s="2"/>
    </x:row>
  </x:sheetData>
  <x:pageMargins left="0.7" right="0.7" top="0.75" bottom="0.75" header="0.3" footer="0.3"/>
</x:worksheet>
</file>